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f6dfe709b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r" sheetId="1" r:id="R6f3304f2a86d42dd"/>
    <x:sheet xmlns:r="http://schemas.openxmlformats.org/officeDocument/2006/relationships" name="01_Proyecto" sheetId="2" r:id="Rf299ca72f4e14f07"/>
    <x:sheet xmlns:r="http://schemas.openxmlformats.org/officeDocument/2006/relationships" name="02_Escenarios" sheetId="3" r:id="Ra56c0ddb86614d0c"/>
    <x:sheet xmlns:r="http://schemas.openxmlformats.org/officeDocument/2006/relationships" name="03_Supuestos" sheetId="4" r:id="Rc11f37173c8d4f43"/>
    <x:sheet xmlns:r="http://schemas.openxmlformats.org/officeDocument/2006/relationships" name="04_Modelo_12M" sheetId="5" r:id="Rfa9f18292a8a4e99"/>
    <x:sheet xmlns:r="http://schemas.openxmlformats.org/officeDocument/2006/relationships" name="05_Equilibrio" sheetId="6" r:id="Rd52ec847ec1c4cc0"/>
    <x:sheet xmlns:r="http://schemas.openxmlformats.org/officeDocument/2006/relationships" name="06_Dashboard" sheetId="7" r:id="Rfcb34434823a4923"/>
    <x:sheet xmlns:r="http://schemas.openxmlformats.org/officeDocument/2006/relationships" name="07_Cajas_Actuales" sheetId="8" r:id="R83a3bec51e8a4b41"/>
    <x:sheet xmlns:r="http://schemas.openxmlformats.org/officeDocument/2006/relationships" name="08_Plan_Accion" sheetId="9" r:id="R5c14dd3479f14cf0"/>
    <x:sheet xmlns:r="http://schemas.openxmlformats.org/officeDocument/2006/relationships" name="09_Fuentes" sheetId="10" r:id="R33fc0b198a8f4ff3"/>
    <x:sheet xmlns:r="http://schemas.openxmlformats.org/officeDocument/2006/relationships" name="10_Cambios_V4" sheetId="11" r:id="R7ee86a0ba9aa4ee9"/>
    <x:sheet xmlns:r="http://schemas.openxmlformats.org/officeDocument/2006/relationships" name="10_Cambios_V5" sheetId="12" r:id="R4a7a2c7cb5114b98"/>
    <x:sheet xmlns:r="http://schemas.openxmlformats.org/officeDocument/2006/relationships" name="11_Economia_Demo" sheetId="13" r:id="R3ed1c316307a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#,##0.00;[Red](#,##0.00);-"/>
    <x:numFmt numFmtId="202" formatCode="#,##0;[Red](#,##0);-"/>
    <x:numFmt numFmtId="203" formatCode="0.0x;[Red](0.0x);-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B1220"/>
      <x:name val="Carlito"/>
    </x:font>
    <x:font>
      <x:b/>
      <x:sz val="11"/>
      <x:color rgb="FFC43D3D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7"/>
      <x:color rgb="FF008000"/>
      <x:name val="Carlito"/>
    </x:font>
    <x:font>
      <x:b/>
      <x:sz val="13"/>
      <x:color rgb="FF0B1220"/>
      <x:name val="Carlito"/>
    </x:font>
    <x:font>
      <x:sz val="11"/>
      <x:color rgb="FF0B1220"/>
      <x:name val="Carlito"/>
    </x:font>
    <x:font>
      <x:b/>
      <x:sz val="11"/>
      <x:color rgb="FFD6B45A"/>
      <x:name val="Carlito"/>
    </x:font>
    <x:font>
      <x:b/>
      <x:sz val="11"/>
      <x:color rgb="FF000000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3F6FA"/>
      </x:patternFill>
    </x:fill>
    <x:fill>
      <x:patternFill patternType="solid">
        <x:fgColor rgb="FF111C33"/>
      </x:patternFill>
    </x:fill>
    <x:fill>
      <x:patternFill patternType="solid">
        <x:fgColor rgb="FFD6B45A"/>
      </x:patternFill>
    </x:fill>
    <x:fill>
      <x:patternFill patternType="solid">
        <x:fgColor rgb="FFF5E7B7"/>
      </x:patternFill>
    </x:fill>
    <x:fill>
      <x:patternFill patternType="solid">
        <x:fgColor rgb="FFFFF0F0"/>
      </x:patternFill>
    </x:fill>
    <x:fill>
      <x:patternFill patternType="solid">
        <x:fgColor rgb="FFFFF2A8"/>
      </x:patternFill>
    </x:fill>
    <x:fill>
      <x:patternFill patternType="solid">
        <x:fgColor rgb="FFFFFFFF"/>
      </x:patternFill>
    </x:fill>
    <x:fill>
      <x:patternFill patternType="solid">
        <x:fgColor rgb="FF111C33"/>
      </x:patternFill>
    </x:fill>
    <x:fill>
      <x:patternFill patternType="solid">
        <x:fgColor rgb="FFD6B45A"/>
      </x:patternFill>
    </x:fill>
    <x:fill>
      <x:patternFill patternType="solid">
        <x:fgColor rgb="FFF5E7B7"/>
      </x:patternFill>
    </x:fill>
    <x:fill>
      <x:patternFill patternType="solid">
        <x:fgColor rgb="FFFFF2A8"/>
      </x:patternFill>
    </x:fill>
    <x:fill>
      <x:patternFill patternType="solid">
        <x:fgColor rgb="FFFFF0F0"/>
      </x:patternFill>
    </x:fill>
    <x:fill>
      <x:patternFill patternType="solid">
        <x:fgColor rgb="FF0B1220"/>
      </x:patternFill>
    </x:fill>
    <x:fill>
      <x:patternFill patternType="solid">
        <x:fgColor rgb="FFF3F6FA"/>
      </x:patternFill>
    </x:fill>
    <x:fill>
      <x:patternFill patternType="solid">
        <x:fgColor rgb="FF111C33"/>
      </x:patternFill>
    </x:fill>
    <x:fill>
      <x:patternFill patternType="solid">
        <x:fgColor rgb="FFD6B45A"/>
      </x:patternFill>
    </x:fill>
    <x:fill>
      <x:patternFill patternType="solid">
        <x:fgColor rgb="FFF5E7B7"/>
      </x:patternFill>
    </x:fill>
    <x:fill>
      <x:patternFill patternType="solid">
        <x:fgColor rgb="FFFFF2A8"/>
      </x:patternFill>
    </x:fill>
    <x:fill>
      <x:patternFill patternType="solid">
        <x:fgColor rgb="FF0B1220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3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right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right"/>
    </x:xf>
    <x:xf numFmtId="200" fontId="6" fillId="8" borderId="0" xfId="0" applyNumberFormat="1" applyFont="1" applyFill="1" applyBorder="1" applyAlignment="1">
      <x:alignment horizontal="right"/>
    </x:xf>
    <x:xf numFmtId="200" fontId="6" fillId="8" borderId="1" xfId="0" applyNumberFormat="1" applyFont="1" applyFill="1" applyBorder="1" applyAlignment="1">
      <x:alignment horizontal="right"/>
    </x:xf>
    <x:xf numFmtId="201" fontId="6" fillId="8" borderId="0" xfId="0" applyNumberFormat="1" applyFont="1" applyFill="1" applyBorder="1" applyAlignment="1">
      <x:alignment horizontal="right"/>
    </x:xf>
    <x:xf numFmtId="201" fontId="6" fillId="8" borderId="1" xfId="0" applyNumberFormat="1" applyFont="1" applyFill="1" applyBorder="1" applyAlignment="1">
      <x:alignment horizontal="right"/>
    </x:xf>
    <x:xf numFmtId="202" fontId="6" fillId="8" borderId="0" xfId="0" applyNumberFormat="1" applyFont="1" applyFill="1" applyBorder="1" applyAlignment="1">
      <x:alignment horizontal="right"/>
    </x:xf>
    <x:xf numFmtId="202" fontId="6" fillId="8" borderId="1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0" fontId="7" fillId="0" borderId="1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horizontal="right"/>
    </x:xf>
    <x:xf numFmtId="201" fontId="7" fillId="0" borderId="1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2" fontId="7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/>
    </x:xf>
    <x:xf numFmtId="0" fontId="4" fillId="6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/>
    </x:xf>
    <x:xf numFmtId="0" fontId="4" fillId="6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1" fontId="3" fillId="4" borderId="0" xfId="0" applyNumberFormat="1" applyFont="1" applyFill="1" applyBorder="1" applyAlignment="1">
      <x:alignment horizontal="right"/>
    </x:xf>
    <x:xf numFmtId="201" fontId="3" fillId="4" borderId="1" xfId="0" applyNumberFormat="1" applyFont="1" applyFill="1" applyBorder="1" applyAlignment="1">
      <x:alignment horizontal="right"/>
    </x:xf>
    <x:xf numFmtId="201" fontId="4" fillId="6" borderId="0" xfId="0" applyNumberFormat="1" applyFont="1" applyFill="1" applyBorder="1" applyAlignment="1">
      <x:alignment horizontal="right"/>
    </x:xf>
    <x:xf numFmtId="201" fontId="4" fillId="6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0" xfId="0" applyNumberFormat="1" applyFont="1" applyFill="1" applyBorder="1" applyAlignment="1">
      <x:alignment horizontal="right"/>
    </x:xf>
    <x:xf numFmtId="201" fontId="8" fillId="0" borderId="1" xfId="0" applyNumberFormat="1" applyFont="1" applyFill="1" applyBorder="1"/>
    <x:xf numFmtId="201" fontId="8" fillId="0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8" borderId="0" xfId="0" applyNumberFormat="1" applyFont="1" applyFill="1" applyBorder="1"/>
    <x:xf numFmtId="200" fontId="6" fillId="8" borderId="0" xfId="0" applyNumberFormat="1" applyFont="1" applyFill="1" applyBorder="1"/>
    <x:xf numFmtId="200" fontId="0" fillId="8" borderId="1" xfId="0" applyNumberFormat="1" applyFont="1" applyFill="1" applyBorder="1"/>
    <x:xf numFmtId="200" fontId="6" fillId="8" borderId="1" xfId="0" applyNumberFormat="1" applyFont="1" applyFill="1" applyBorder="1"/>
    <x:xf numFmtId="0" fontId="9" fillId="3" borderId="0" xfId="0" applyNumberFormat="1" applyFont="1" applyFill="1" applyBorder="1"/>
    <x:xf numFmtId="201" fontId="9" fillId="3" borderId="0" xfId="0" applyNumberFormat="1" applyFont="1" applyFill="1" applyBorder="1"/>
    <x:xf numFmtId="201" fontId="9" fillId="3" borderId="0" xfId="0" applyNumberFormat="1" applyFont="1" applyFill="1" applyBorder="1" applyAlignment="1">
      <x:alignment horizontal="center"/>
    </x:xf>
    <x:xf numFmtId="201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201" fontId="9" fillId="3" borderId="1" xfId="0" applyNumberFormat="1" applyFont="1" applyFill="1" applyBorder="1"/>
    <x:xf numFmtId="201" fontId="9" fillId="3" borderId="1" xfId="0" applyNumberFormat="1" applyFont="1" applyFill="1" applyBorder="1" applyAlignment="1">
      <x:alignment horizontal="center"/>
    </x:xf>
    <x:xf numFmtId="201" fontId="9" fillId="3" borderId="1" xfId="0" applyNumberFormat="1" applyFont="1" applyFill="1" applyBorder="1" applyAlignment="1">
      <x:alignment horizontal="center" vertical="center"/>
    </x:xf>
    <x:xf numFmtId="200" fontId="9" fillId="3" borderId="0" xfId="0" applyNumberFormat="1" applyFont="1" applyFill="1" applyBorder="1"/>
    <x:xf numFmtId="200" fontId="9" fillId="3" borderId="0" xfId="0" applyNumberFormat="1" applyFont="1" applyFill="1" applyBorder="1" applyAlignment="1">
      <x:alignment horizontal="center"/>
    </x:xf>
    <x:xf numFmtId="200" fontId="9" fillId="3" borderId="0" xfId="0" applyNumberFormat="1" applyFont="1" applyFill="1" applyBorder="1" applyAlignment="1">
      <x:alignment horizontal="center" vertical="center"/>
    </x:xf>
    <x:xf numFmtId="200" fontId="9" fillId="3" borderId="1" xfId="0" applyNumberFormat="1" applyFont="1" applyFill="1" applyBorder="1"/>
    <x:xf numFmtId="200" fontId="9" fillId="3" borderId="1" xfId="0" applyNumberFormat="1" applyFont="1" applyFill="1" applyBorder="1" applyAlignment="1">
      <x:alignment horizontal="center"/>
    </x:xf>
    <x:xf numFmtId="200" fontId="9" fillId="3" borderId="1" xfId="0" applyNumberFormat="1" applyFont="1" applyFill="1" applyBorder="1" applyAlignment="1">
      <x:alignment horizontal="center" vertical="center"/>
    </x:xf>
    <x:xf numFmtId="202" fontId="9" fillId="3" borderId="0" xfId="0" applyNumberFormat="1" applyFont="1" applyFill="1" applyBorder="1"/>
    <x:xf numFmtId="202" fontId="9" fillId="3" borderId="0" xfId="0" applyNumberFormat="1" applyFont="1" applyFill="1" applyBorder="1" applyAlignment="1">
      <x:alignment horizontal="center"/>
    </x:xf>
    <x:xf numFmtId="202" fontId="9" fillId="3" borderId="0" xfId="0" applyNumberFormat="1" applyFont="1" applyFill="1" applyBorder="1" applyAlignment="1">
      <x:alignment horizontal="center" vertical="center"/>
    </x:xf>
    <x:xf numFmtId="202" fontId="9" fillId="3" borderId="1" xfId="0" applyNumberFormat="1" applyFont="1" applyFill="1" applyBorder="1"/>
    <x:xf numFmtId="202" fontId="9" fillId="3" borderId="1" xfId="0" applyNumberFormat="1" applyFont="1" applyFill="1" applyBorder="1" applyAlignment="1">
      <x:alignment horizontal="center"/>
    </x:xf>
    <x:xf numFmtId="202" fontId="9" fillId="3" borderId="1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horizont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1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6" fillId="8" borderId="0" xfId="0" applyNumberFormat="1" applyFont="1" applyFill="1" applyBorder="1" applyAlignment="1">
      <x:alignment horizontal="right" wrapText="1"/>
    </x:xf>
    <x:xf numFmtId="202" fontId="6" fillId="8" borderId="0" xfId="0" applyNumberFormat="1" applyFont="1" applyFill="1" applyBorder="1" applyAlignment="1">
      <x:alignment horizontal="right" wrapText="1"/>
    </x:xf>
    <x:xf numFmtId="201" fontId="6" fillId="8" borderId="1" xfId="0" applyNumberFormat="1" applyFont="1" applyFill="1" applyBorder="1" applyAlignment="1">
      <x:alignment horizontal="right" wrapText="1"/>
    </x:xf>
    <x:xf numFmtId="202" fontId="6" fillId="8" borderId="1" xfId="0" applyNumberFormat="1" applyFont="1" applyFill="1" applyBorder="1" applyAlignment="1">
      <x:alignment horizontal="right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6" fillId="8" borderId="0" xfId="0" applyNumberFormat="1" applyFont="1" applyFill="1" applyBorder="1" applyAlignment="1">
      <x:alignment horizontal="right" vertical="center"/>
    </x:xf>
    <x:xf numFmtId="201" fontId="6" fillId="8" borderId="0" xfId="0" applyNumberFormat="1" applyFont="1" applyFill="1" applyBorder="1" applyAlignment="1">
      <x:alignment horizontal="right" vertical="center"/>
    </x:xf>
    <x:xf numFmtId="200" fontId="6" fillId="8" borderId="0" xfId="0" applyNumberFormat="1" applyFont="1" applyFill="1" applyBorder="1" applyAlignment="1">
      <x:alignment horizontal="right" vertical="center"/>
    </x:xf>
    <x:xf numFmtId="0" fontId="6" fillId="8" borderId="0" xfId="0" applyNumberFormat="1" applyFont="1" applyFill="1" applyBorder="1" applyAlignment="1">
      <x:alignment horizontal="right" vertical="center"/>
    </x:xf>
    <x:xf numFmtId="202" fontId="6" fillId="8" borderId="1" xfId="0" applyNumberFormat="1" applyFont="1" applyFill="1" applyBorder="1" applyAlignment="1">
      <x:alignment horizontal="right" vertical="center"/>
    </x:xf>
    <x:xf numFmtId="201" fontId="6" fillId="8" borderId="1" xfId="0" applyNumberFormat="1" applyFont="1" applyFill="1" applyBorder="1" applyAlignment="1">
      <x:alignment horizontal="right" vertical="center"/>
    </x:xf>
    <x:xf numFmtId="200" fontId="6" fillId="8" borderId="1" xfId="0" applyNumberFormat="1" applyFont="1" applyFill="1" applyBorder="1" applyAlignment="1">
      <x:alignment horizontal="right" vertical="center"/>
    </x:xf>
    <x:xf numFmtId="0" fontId="6" fillId="8" borderId="1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0" fontId="7" fillId="0" borderId="1" xfId="0" applyNumberFormat="1" applyFont="1" applyFill="1" applyBorder="1" applyAlignment="1">
      <x:alignment horizontal="right" vertical="center"/>
    </x:xf>
    <x:xf numFmtId="202" fontId="7" fillId="0" borderId="1" xfId="0" applyNumberFormat="1" applyFont="1" applyFill="1" applyBorder="1" applyAlignment="1">
      <x:alignment horizontal="right" vertical="center"/>
    </x:xf>
    <x:xf numFmtId="201" fontId="7" fillId="0" borderId="1" xfId="0" applyNumberFormat="1" applyFont="1" applyFill="1" applyBorder="1" applyAlignment="1">
      <x:alignment horizontal="right" vertical="center"/>
    </x:xf>
    <x:xf numFmtId="200" fontId="7" fillId="0" borderId="1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horizontal="right" vertical="center"/>
    </x:xf>
    <x:xf numFmtId="202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horizontal="right" vertical="center"/>
    </x:xf>
    <x:xf numFmtId="0" fontId="4" fillId="6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201" fontId="6" fillId="8" borderId="0" xfId="0" applyNumberFormat="1" applyFont="1" applyFill="1" applyBorder="1" applyAlignment="1">
      <x:alignment horizontal="right" vertical="center" wrapText="1"/>
    </x:xf>
    <x:xf numFmtId="202" fontId="6" fillId="8" borderId="0" xfId="0" applyNumberFormat="1" applyFont="1" applyFill="1" applyBorder="1" applyAlignment="1">
      <x:alignment horizontal="right" vertical="center" wrapText="1"/>
    </x:xf>
    <x:xf numFmtId="203" fontId="0" fillId="0" borderId="1" xfId="0" applyNumberFormat="1" applyFont="1" applyFill="1" applyBorder="1" applyAlignment="1">
      <x:alignment vertical="center"/>
    </x:xf>
    <x:xf numFmtId="201" fontId="6" fillId="8" borderId="1" xfId="0" applyNumberFormat="1" applyFont="1" applyFill="1" applyBorder="1" applyAlignment="1">
      <x:alignment horizontal="right" vertical="center" wrapText="1"/>
    </x:xf>
    <x:xf numFmtId="202" fontId="6" fillId="8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horizontal="left" vertical="center" wrapText="1"/>
    </x:xf>
    <x:xf numFmtId="201" fontId="6" fillId="13" borderId="0" xfId="0" applyNumberFormat="1" applyFont="1" applyFill="1" applyBorder="1" applyAlignment="1">
      <x:alignment horizontal="right" vertical="center"/>
    </x:xf>
    <x:xf numFmtId="200" fontId="6" fillId="13" borderId="0" xfId="0" applyNumberFormat="1" applyFont="1" applyFill="1" applyBorder="1" applyAlignment="1">
      <x:alignment horizontal="right" vertical="center"/>
    </x:xf>
    <x:xf numFmtId="0" fontId="6" fillId="13" borderId="0" xfId="0" applyNumberFormat="1" applyFont="1" applyFill="1" applyBorder="1" applyAlignment="1">
      <x:alignment horizontal="right" vertical="center"/>
    </x:xf>
    <x:xf numFmtId="201" fontId="6" fillId="13" borderId="0" xfId="0" applyNumberFormat="1" applyFont="1" applyFill="1" applyBorder="1" applyAlignment="1">
      <x:alignment horizontal="right" vertical="center" wrapText="1"/>
    </x:xf>
    <x:xf numFmtId="202" fontId="6" fillId="13" borderId="0" xfId="0" applyNumberFormat="1" applyFont="1" applyFill="1" applyBorder="1" applyAlignment="1">
      <x:alignment horizontal="right"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/>
    </x:xf>
    <x:xf numFmtId="201" fontId="8" fillId="13" borderId="0" xfId="0" applyNumberFormat="1" applyFont="1" applyFill="1" applyBorder="1" applyAlignment="1">
      <x:alignment horizontal="right" vertical="center"/>
    </x:xf>
    <x:xf numFmtId="0" fontId="6" fillId="13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left" wrapText="1"/>
    </x:xf>
    <x:xf numFmtId="201" fontId="0" fillId="13" borderId="0" xfId="0" applyNumberFormat="1" applyFont="1" applyFill="1" applyBorder="1"/>
    <x:xf numFmtId="200" fontId="0" fillId="13" borderId="0" xfId="0" applyNumberFormat="1" applyFont="1" applyFill="1" applyBorder="1"/>
    <x:xf numFmtId="201" fontId="6" fillId="13" borderId="0" xfId="0" applyNumberFormat="1" applyFont="1" applyFill="1" applyBorder="1"/>
    <x:xf numFmtId="200" fontId="6" fillId="13" borderId="0" xfId="0" applyNumberFormat="1" applyFont="1" applyFill="1" applyBorder="1"/>
    <x:xf numFmtId="201" fontId="6" fillId="13" borderId="0" xfId="0" applyNumberFormat="1" applyFont="1" applyFill="1" applyBorder="1" applyAlignment="1">
      <x:alignment horizontal="right"/>
    </x:xf>
    <x:xf numFmtId="200" fontId="6" fillId="13" borderId="0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1" fontId="8" fillId="8" borderId="0" xfId="0" applyNumberFormat="1" applyFont="1" applyFill="1" applyBorder="1" applyAlignment="1">
      <x:alignment horizontal="right" vertical="center"/>
    </x:xf>
    <x:xf numFmtId="0" fontId="6" fillId="8" borderId="0" xfId="0" applyNumberFormat="1" applyFont="1" applyFill="1" applyBorder="1" applyAlignment="1">
      <x:alignment vertical="center"/>
    </x:xf>
    <x:xf numFmtId="201" fontId="0" fillId="8" borderId="0" xfId="0" applyNumberFormat="1" applyFont="1" applyFill="1" applyBorder="1"/>
    <x:xf numFmtId="201" fontId="6" fillId="8" borderId="0" xfId="0" applyNumberFormat="1" applyFont="1" applyFill="1" applyBorder="1"/>
    <x:xf numFmtId="0" fontId="3" fillId="17" borderId="0" xfId="0" applyNumberFormat="1" applyFont="1" applyFill="1" applyBorder="1" applyAlignment="1">
      <x:alignment horizontal="left" vertical="center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left"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 wrapText="1"/>
    </x:xf>
    <x:xf numFmtId="200" fontId="6" fillId="20" borderId="0" xfId="0" applyNumberFormat="1" applyFont="1" applyFill="1" applyBorder="1" applyAlignment="1">
      <x:alignment horizontal="right" vertical="center"/>
    </x:xf>
    <x:xf numFmtId="201" fontId="6" fillId="20" borderId="0" xfId="0" applyNumberFormat="1" applyFont="1" applyFill="1" applyBorder="1" applyAlignment="1">
      <x:alignment horizontal="right" vertical="center"/>
    </x:xf>
    <x:xf numFmtId="0" fontId="6" fillId="20" borderId="0" xfId="0" applyNumberFormat="1" applyFont="1" applyFill="1" applyBorder="1" applyAlignment="1">
      <x:alignment horizontal="right" vertical="center"/>
    </x:xf>
    <x:xf numFmtId="0" fontId="0" fillId="18" borderId="0" xfId="0" applyNumberFormat="1" applyFont="1" applyFill="1" applyBorder="1" applyAlignment="1">
      <x:alignment vertical="center"/>
    </x:xf>
    <x:xf numFmtId="0" fontId="4" fillId="18" borderId="0" xfId="0" applyNumberFormat="1" applyFont="1" applyFill="1" applyBorder="1" applyAlignment="1">
      <x:alignment vertical="center"/>
    </x:xf>
    <x:xf numFmtId="0" fontId="4" fillId="18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vertical="center"/>
    </x:xf>
    <x:xf numFmtId="201" fontId="6" fillId="20" borderId="0" xfId="0" applyNumberFormat="1" applyFont="1" applyFill="1" applyBorder="1" applyAlignment="1">
      <x:alignment horizontal="right" vertical="center" wrapText="1"/>
    </x:xf>
    <x:xf numFmtId="202" fontId="6" fillId="20" borderId="0" xfId="0" applyNumberFormat="1" applyFont="1" applyFill="1" applyBorder="1" applyAlignment="1">
      <x:alignment horizontal="right"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left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left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left" wrapText="1"/>
    </x:xf>
    <x:xf numFmtId="200" fontId="0" fillId="20" borderId="0" xfId="0" applyNumberFormat="1" applyFont="1" applyFill="1" applyBorder="1"/>
    <x:xf numFmtId="201" fontId="0" fillId="20" borderId="0" xfId="0" applyNumberFormat="1" applyFont="1" applyFill="1" applyBorder="1"/>
    <x:xf numFmtId="200" fontId="6" fillId="20" borderId="0" xfId="0" applyNumberFormat="1" applyFont="1" applyFill="1" applyBorder="1"/>
    <x:xf numFmtId="201" fontId="6" fillId="20" borderId="0" xfId="0" applyNumberFormat="1" applyFont="1" applyFill="1" applyBorder="1"/>
    <x:xf numFmtId="200" fontId="6" fillId="20" borderId="0" xfId="0" applyNumberFormat="1" applyFont="1" applyFill="1" applyBorder="1" applyAlignment="1">
      <x:alignment horizontal="right"/>
    </x:xf>
    <x:xf numFmtId="201" fontId="6" fillId="20" borderId="0" xfId="0" applyNumberFormat="1" applyFont="1" applyFill="1" applyBorder="1" applyAlignment="1">
      <x:alignment horizontal="right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right"/>
    </x:xf>
    <x:xf numFmtId="202" fontId="6" fillId="20" borderId="0" xfId="0" applyNumberFormat="1" applyFont="1" applyFill="1" applyBorder="1" applyAlignment="1">
      <x:alignment horizontal="right"/>
    </x:xf>
    <x:xf numFmtId="203" fontId="6" fillId="20" borderId="0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C43D3D"/>
      </x:font>
      <x:fill>
        <x:patternFill>
          <x:bgColor rgb="FFFDE2E2"/>
        </x:patternFill>
      </x:fill>
    </x:dxf>
    <x:dxf>
      <x:font>
        <x:b/>
        <x:color rgb="FF1F9D55"/>
      </x:font>
      <x:fill>
        <x:patternFill>
          <x:bgColor rgb="FFE3F7EE"/>
        </x:patternFill>
      </x:fill>
    </x:dxf>
    <x:dxf>
      <x:font>
        <x:b/>
        <x:color rgb="FFC43D3D"/>
      </x:font>
      <x:fill>
        <x:patternFill>
          <x:bgColor rgb="FFFDE2E2"/>
        </x:patternFill>
      </x:fill>
    </x:dxf>
    <x:dxf>
      <x:font>
        <x:b/>
        <x:color rgb="FF1F9D55"/>
      </x:font>
      <x:fill>
        <x:patternFill>
          <x:bgColor rgb="FFE3F7EE"/>
        </x:patternFill>
      </x:fill>
    </x:dxf>
    <x:dxf>
      <x:font>
        <x:b/>
        <x:color rgb="FFC43D3D"/>
      </x:font>
      <x:fill>
        <x:patternFill>
          <x:bgColor rgb="FFFDE2E2"/>
        </x:patternFill>
      </x:fill>
    </x:dxf>
    <x:dxf>
      <x:font>
        <x:b/>
        <x:color rgb="FF1F9D55"/>
      </x:font>
      <x:fill>
        <x:patternFill>
          <x:bgColor rgb="FFE3F7EE"/>
        </x:patternFill>
      </x:fill>
    </x:dxf>
    <x:dxf>
      <x:font>
        <x:b/>
        <x:color rgb="FFC43D3D"/>
      </x:font>
      <x:fill>
        <x:patternFill>
          <x:bgColor rgb="FFFDE2E2"/>
        </x:patternFill>
      </x:fill>
    </x:dxf>
    <x:dxf>
      <x:font>
        <x:b/>
        <x:color rgb="FF1F9D55"/>
      </x:font>
      <x:fill>
        <x:patternFill>
          <x:bgColor rgb="FFDDF5E8"/>
        </x:patternFill>
      </x:fill>
    </x:dxf>
    <x:dxf>
      <x:font>
        <x:b/>
        <x:color rgb="FFC43D3D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64877f1bc4a5b" /><Relationship Type="http://schemas.openxmlformats.org/officeDocument/2006/relationships/theme" Target="/xl/theme/theme1.xml" Id="R407000fb2c884ed6" /><Relationship Type="http://schemas.openxmlformats.org/officeDocument/2006/relationships/sharedStrings" Target="/xl/sharedStrings.xml" Id="R25def2983955450a" /><Relationship Type="http://schemas.openxmlformats.org/officeDocument/2006/relationships/worksheet" Target="/xl/worksheets/sheet1.xml" Id="R6f3304f2a86d42dd" /><Relationship Type="http://schemas.openxmlformats.org/officeDocument/2006/relationships/worksheet" Target="/xl/worksheets/sheet2.xml" Id="Rf299ca72f4e14f07" /><Relationship Type="http://schemas.openxmlformats.org/officeDocument/2006/relationships/worksheet" Target="/xl/worksheets/sheet3.xml" Id="Ra56c0ddb86614d0c" /><Relationship Type="http://schemas.openxmlformats.org/officeDocument/2006/relationships/worksheet" Target="/xl/worksheets/sheet4.xml" Id="Rc11f37173c8d4f43" /><Relationship Type="http://schemas.openxmlformats.org/officeDocument/2006/relationships/worksheet" Target="/xl/worksheets/sheet5.xml" Id="Rfa9f18292a8a4e99" /><Relationship Type="http://schemas.openxmlformats.org/officeDocument/2006/relationships/worksheet" Target="/xl/worksheets/sheet6.xml" Id="Rd52ec847ec1c4cc0" /><Relationship Type="http://schemas.openxmlformats.org/officeDocument/2006/relationships/worksheet" Target="/xl/worksheets/sheet7.xml" Id="Rfcb34434823a4923" /><Relationship Type="http://schemas.openxmlformats.org/officeDocument/2006/relationships/worksheet" Target="/xl/worksheets/sheet8.xml" Id="R83a3bec51e8a4b41" /><Relationship Type="http://schemas.openxmlformats.org/officeDocument/2006/relationships/worksheet" Target="/xl/worksheets/sheet9.xml" Id="R5c14dd3479f14cf0" /><Relationship Type="http://schemas.openxmlformats.org/officeDocument/2006/relationships/worksheet" Target="/xl/worksheets/sheet10.xml" Id="R33fc0b198a8f4ff3" /><Relationship Type="http://schemas.openxmlformats.org/officeDocument/2006/relationships/worksheet" Target="/xl/worksheets/sheet11.xml" Id="R7ee86a0ba9aa4ee9" /><Relationship Type="http://schemas.openxmlformats.org/officeDocument/2006/relationships/worksheet" Target="/xl/worksheets/sheet12.xml" Id="R4a7a2c7cb5114b98" /><Relationship Type="http://schemas.openxmlformats.org/officeDocument/2006/relationships/worksheet" Target="/xl/worksheets/sheet13.xml" Id="R3ed1c316307a41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8358903e694c25" /><Relationship Type="http://schemas.openxmlformats.org/officeDocument/2006/relationships/chart" Target="/xl/drawings/charts/chart2.xml" Id="R0b9fe70d1c794a02" /><Relationship Type="http://schemas.openxmlformats.org/officeDocument/2006/relationships/chart" Target="/xl/drawings/charts/chart3.xml" Id="R0c2d9acbe719426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74e659759c94c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Usuarios registrados y activos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Registrados</c:v>
          </c:tx>
          <c:cat>
            <c:strRef>
              <c:f>'06_Dashboard'!$A$24:$A$35</c:f>
              <c:strCache>
                <c:ptCount val="0"/>
              </c:strCache>
            </c:strRef>
          </c:cat>
          <c:val>
            <c:numRef>
              <c:f>'06_Dashboard'!$B$24:$B$35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Activos</c:v>
          </c:tx>
          <c:cat>
            <c:strRef>
              <c:f>'06_Dashboard'!$A$24:$A$35</c:f>
              <c:strCache>
                <c:ptCount val="0"/>
              </c:strCache>
            </c:strRef>
          </c:cat>
          <c:val>
            <c:numRef>
              <c:f>'06_Dashboard'!$C$24:$C$35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Ingresos, costes y beneficio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cat>
            <c:strRef>
              <c:f>'06_Dashboard'!$F$24:$F$35</c:f>
              <c:strCache>
                <c:ptCount val="0"/>
              </c:strCache>
            </c:strRef>
          </c:cat>
          <c:val>
            <c:numRef>
              <c:f>'06_Dashboard'!$G$24:$G$35</c:f>
              <c:numCache>
                <c:formatCode>#,##0.00;[Red](#,##0.00);-</c:formatCode>
                <c:ptCount val="0"/>
              </c:numCache>
            </c:numRef>
          </c:val>
        </c:ser>
        <c:ser>
          <c:idx val="1"/>
          <c:order val="1"/>
          <c:tx>
            <c:v>Costes</c:v>
          </c:tx>
          <c:cat>
            <c:strRef>
              <c:f>'06_Dashboard'!$F$24:$F$35</c:f>
              <c:strCache>
                <c:ptCount val="0"/>
              </c:strCache>
            </c:strRef>
          </c:cat>
          <c:val>
            <c:numRef>
              <c:f>'06_Dashboard'!$H$24:$H$35</c:f>
              <c:numCache>
                <c:formatCode>#,##0.00;[Red](#,##0.00);-</c:formatCode>
                <c:ptCount val="0"/>
              </c:numCache>
            </c:numRef>
          </c:val>
        </c:ser>
        <c:ser>
          <c:idx val="2"/>
          <c:order val="2"/>
          <c:tx>
            <c:v>Beneficio neto</c:v>
          </c:tx>
          <c:cat>
            <c:strRef>
              <c:f>'06_Dashboard'!$F$24:$F$35</c:f>
              <c:strCache>
                <c:ptCount val="0"/>
              </c:strCache>
            </c:strRef>
          </c:cat>
          <c:val>
            <c:numRef>
              <c:f>'06_Dashboard'!$I$24:$I$35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Mix de ingresos anual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Importe anual</c:v>
          </c:tx>
          <c:cat>
            <c:strRef>
              <c:f>'06_Dashboard'!$K$24:$K$27</c:f>
              <c:strCache>
                <c:ptCount val="0"/>
              </c:strCache>
            </c:strRef>
          </c:cat>
          <c:val>
            <c:numRef>
              <c:f>'06_Dashboard'!$L$24:$L$27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Volumen, premios y GGR demo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Usuarios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'11_Economia_Demo'!$B$34:$B$38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Partidas/usuario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'11_Economia_Demo'!$C$34:$C$38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RTP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'11_Economia_Demo'!$D$34:$D$38</c:f>
              <c:numCache>
                <c:formatCode>0.0%;[Red](0.0%);-</c:formatCode>
                <c:ptCount val="0"/>
              </c:numCache>
            </c:numRef>
          </c:val>
        </c:ser>
        <c:ser>
          <c:idx val="3"/>
          <c:order val="3"/>
          <c:tx>
            <c:v>Apuesta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'11_Economia_Demo'!$E$34:$E$38</c:f>
              <c:numCache>
                <c:formatCode>#,##0.00;[Red](#,##0.00);-</c:formatCode>
                <c:ptCount val="0"/>
              </c:numCache>
            </c:numRef>
          </c:val>
        </c:ser>
        <c:ser>
          <c:idx val="4"/>
          <c:order val="4"/>
          <c:tx>
            <c:v>Volumen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'11_Economia_Demo'!$F$34:$F$38</c:f>
              <c:numCache>
                <c:formatCode>#,##0.00;[Red](#,##0.00);-</c:formatCode>
                <c:ptCount val="0"/>
              </c:numCache>
            </c:numRef>
          </c:val>
        </c:ser>
        <c:ser>
          <c:idx val="5"/>
          <c:order val="5"/>
          <c:tx>
            <c:v>Premios esperados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'11_Economia_Demo'!$G$34:$G$38</c:f>
              <c:numCache>
                <c:formatCode>#,##0.00;[Red](#,##0.00);-</c:formatCode>
                <c:ptCount val="0"/>
              </c:numCache>
            </c:numRef>
          </c:val>
        </c:ser>
        <c:ser>
          <c:idx val="6"/>
          <c:order val="6"/>
          <c:tx>
            <c:v>GGR demo</c:v>
          </c:tx>
          <c:cat>
            <c:strRef>
              <c:f>'11_Economia_Demo'!$A$34:$A$38</c:f>
              <c:strCache>
                <c:ptCount val="0"/>
              </c:strCache>
            </c:strRef>
          </c:cat>
          <c:val>
            <c:numRef>
              <c:f>'11_Economia_Demo'!$H$34:$H$38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8358903e694c25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9fe70d1c794a02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2d9acbe719426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4e659759c94c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dba9a22904543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8a80a875722749c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6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Plan de empresa flexible - Lootra V5</x:v>
      </x:c>
      <x:c r="B1" s="5"/>
      <x:c r="C1" s="5"/>
      <x:c r="D1" s="5"/>
      <x:c r="E1" s="5"/>
      <x:c r="F1" s="5"/>
      <x:c r="G1" s="5"/>
      <x:c r="H1" s="5"/>
      <x:c r="I1" s="183"/>
      <x:c r="J1" s="183"/>
      <x:c r="K1" s="183"/>
      <x:c r="L1" s="183"/>
      <x:c r="M1" s="183"/>
      <x:c r="N1" s="183"/>
    </x:row>
    <x:row r="2" ht="34" customHeight="1">
      <x:c r="A2" s="13" t="str">
        <x:v>Actualización del plan anterior para la versión final de la demo: mantiene el modelo comercial, pero incorpora libro mayor, tesorería ficticia, retiradas demo y simulación económica.</x:v>
      </x:c>
      <x:c r="B2" s="13"/>
      <x:c r="C2" s="13"/>
      <x:c r="D2" s="13"/>
      <x:c r="E2" s="13"/>
      <x:c r="F2" s="13"/>
      <x:c r="G2" s="13"/>
      <x:c r="H2" s="1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 ht="22" customHeight="1">
      <x:c r="A4" s="21" t="str">
        <x:v>Cómo utilizar el archivo</x:v>
      </x:c>
      <x:c r="B4" s="21"/>
      <x:c r="C4" s="21"/>
      <x:c r="D4" s="21"/>
      <x:c r="E4" s="21"/>
      <x:c r="F4" s="21"/>
      <x:c r="G4" s="21"/>
      <x:c r="H4" s="21"/>
      <x:c r="I4" s="183"/>
      <x:c r="J4" s="183"/>
      <x:c r="K4" s="183"/>
      <x:c r="L4" s="183"/>
      <x:c r="M4" s="183"/>
      <x:c r="N4" s="183"/>
    </x:row>
    <x:row r="5">
      <x:c r="A5" s="30" t="str">
        <x:v>Paso</x:v>
      </x:c>
      <x:c r="B5" s="30" t="str">
        <x:v>Acción</x:v>
      </x:c>
      <x:c r="C5" s="30" t="str">
        <x:v>Resultado</x:v>
      </x:c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</x:row>
    <x:row r="6">
      <x:c r="A6" s="184" t="str">
        <x:v>1</x:v>
      </x:c>
      <x:c r="B6" s="185" t="str">
        <x:v>Ve a 06_Dashboard y selecciona el escenario.</x:v>
      </x:c>
      <x:c r="C6" s="185" t="str">
        <x:v>Todo el modelo cambiará automáticamente.</x:v>
      </x:c>
      <x:c r="D6" s="183"/>
      <x:c r="E6" s="183"/>
      <x:c r="F6" s="183"/>
      <x:c r="G6" s="183"/>
      <x:c r="H6" s="183"/>
      <x:c r="I6" s="183"/>
      <x:c r="J6" s="183"/>
      <x:c r="K6" s="183"/>
      <x:c r="L6" s="183"/>
      <x:c r="M6" s="183"/>
      <x:c r="N6" s="183"/>
    </x:row>
    <x:row r="7">
      <x:c r="A7" s="184" t="str">
        <x:v>2</x:v>
      </x:c>
      <x:c r="B7" s="185" t="str">
        <x:v>Edita las celdas amarillas con texto azul de 02_Escenarios.</x:v>
      </x:c>
      <x:c r="C7" s="185" t="str">
        <x:v>Cambiarán usuarios, ingresos, costes y rentabilidad.</x:v>
      </x:c>
      <x:c r="D7" s="183"/>
      <x:c r="E7" s="183"/>
      <x:c r="F7" s="183"/>
      <x:c r="G7" s="183"/>
      <x:c r="H7" s="183"/>
      <x:c r="I7" s="183"/>
      <x:c r="J7" s="183"/>
      <x:c r="K7" s="183"/>
      <x:c r="L7" s="183"/>
      <x:c r="M7" s="183"/>
      <x:c r="N7" s="183"/>
    </x:row>
    <x:row r="8">
      <x:c r="A8" s="184" t="str">
        <x:v>3</x:v>
      </x:c>
      <x:c r="B8" s="185" t="str">
        <x:v>Revisa 04_Modelo_12M.</x:v>
      </x:c>
      <x:c r="C8" s="185" t="str">
        <x:v>Verás la evolución mensual de usuarios, partidas, caja y beneficio.</x:v>
      </x:c>
      <x:c r="D8" s="183"/>
      <x:c r="E8" s="183"/>
      <x:c r="F8" s="183"/>
      <x:c r="G8" s="183"/>
      <x:c r="H8" s="183"/>
      <x:c r="I8" s="183"/>
      <x:c r="J8" s="183"/>
      <x:c r="K8" s="183"/>
      <x:c r="L8" s="183"/>
      <x:c r="M8" s="183"/>
      <x:c r="N8" s="183"/>
    </x:row>
    <x:row r="9">
      <x:c r="A9" s="184" t="str">
        <x:v>4</x:v>
      </x:c>
      <x:c r="B9" s="185" t="str">
        <x:v>Revisa 05_Equilibrio.</x:v>
      </x:c>
      <x:c r="C9" s="185" t="str">
        <x:v>Obtendrás usuarios y partidas necesarios para ser rentable.</x:v>
      </x:c>
      <x:c r="D9" s="183"/>
      <x:c r="E9" s="183"/>
      <x:c r="F9" s="183"/>
      <x:c r="G9" s="183"/>
      <x:c r="H9" s="183"/>
      <x:c r="I9" s="183"/>
      <x:c r="J9" s="183"/>
      <x:c r="K9" s="183"/>
      <x:c r="L9" s="183"/>
      <x:c r="M9" s="183"/>
      <x:c r="N9" s="183"/>
    </x:row>
    <x:row r="10">
      <x:c r="A10" s="184" t="str">
        <x:v>5</x:v>
      </x:c>
      <x:c r="B10" s="185" t="str">
        <x:v>Ajusta 07_Cajas_Actuales si cambian precios, premios o probabilidades.</x:v>
      </x:c>
      <x:c r="C10" s="185" t="str">
        <x:v>Se recalcula el valor esperado de cada caja.</x:v>
      </x:c>
      <x:c r="D10" s="183"/>
      <x:c r="E10" s="183"/>
      <x:c r="F10" s="183"/>
      <x:c r="G10" s="183"/>
      <x:c r="H10" s="183"/>
      <x:c r="I10" s="183"/>
      <x:c r="J10" s="183"/>
      <x:c r="K10" s="183"/>
      <x:c r="L10" s="183"/>
      <x:c r="M10" s="183"/>
      <x:c r="N10" s="183"/>
    </x:row>
    <x:row r="11">
      <x:c r="A11" s="184" t="str">
        <x:v>6</x:v>
      </x:c>
      <x:c r="B11" s="185" t="str">
        <x:v>Actualiza 08_Plan_Accion.</x:v>
      </x:c>
      <x:c r="C11" s="185" t="str">
        <x:v>Tendrás un calendario y presupuesto de ejecución.</x:v>
      </x:c>
      <x:c r="D11" s="183"/>
      <x:c r="E11" s="183"/>
      <x:c r="F11" s="183"/>
      <x:c r="G11" s="183"/>
      <x:c r="H11" s="183"/>
      <x:c r="I11" s="183"/>
      <x:c r="J11" s="183"/>
      <x:c r="K11" s="183"/>
      <x:c r="L11" s="183"/>
      <x:c r="M11" s="183"/>
      <x:c r="N11" s="183"/>
    </x:row>
    <x:row r="12">
      <x:c r="A12" s="183"/>
      <x:c r="B12" s="183"/>
      <x:c r="C12" s="183"/>
      <x:c r="D12" s="183"/>
      <x:c r="E12" s="183"/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 ht="22" customHeight="1">
      <x:c r="A13" s="21" t="str">
        <x:v>Convenciones del modelo</x:v>
      </x:c>
      <x:c r="B13" s="21"/>
      <x:c r="C13" s="21"/>
      <x:c r="D13" s="21"/>
      <x:c r="E13" s="21"/>
      <x:c r="F13" s="21"/>
      <x:c r="G13" s="21"/>
      <x:c r="H13" s="21"/>
      <x:c r="I13" s="183"/>
      <x:c r="J13" s="183"/>
      <x:c r="K13" s="183"/>
      <x:c r="L13" s="183"/>
      <x:c r="M13" s="183"/>
      <x:c r="N13" s="183"/>
    </x:row>
    <x:row r="14">
      <x:c r="A14" s="30" t="str">
        <x:v>Color / formato</x:v>
      </x:c>
      <x:c r="B14" s="30" t="str">
        <x:v>Significado</x:v>
      </x:c>
      <x:c r="C14" s="183"/>
      <x:c r="D14" s="183"/>
      <x:c r="E14" s="183"/>
      <x:c r="F14" s="183"/>
      <x:c r="G14" s="183"/>
      <x:c r="H14" s="183"/>
      <x:c r="I14" s="183"/>
      <x:c r="J14" s="183"/>
      <x:c r="K14" s="183"/>
      <x:c r="L14" s="183"/>
      <x:c r="M14" s="183"/>
      <x:c r="N14" s="183"/>
    </x:row>
    <x:row r="15">
      <x:c r="A15" s="44" t="str">
        <x:v>Fondo amarillo + texto azul</x:v>
      </x:c>
      <x:c r="B15" s="185" t="str">
        <x:v>Dato editable o hipótesis.</x:v>
      </x:c>
      <x:c r="C15" s="183"/>
      <x:c r="D15" s="183"/>
      <x:c r="E15" s="183"/>
      <x:c r="F15" s="183"/>
      <x:c r="G15" s="183"/>
      <x:c r="H15" s="183"/>
      <x:c r="I15" s="183"/>
      <x:c r="J15" s="183"/>
      <x:c r="K15" s="183"/>
      <x:c r="L15" s="183"/>
      <x:c r="M15" s="183"/>
      <x:c r="N15" s="183"/>
    </x:row>
    <x:row r="16">
      <x:c r="A16" s="44" t="str">
        <x:v>Texto verde</x:v>
      </x:c>
      <x:c r="B16" s="185" t="str">
        <x:v>Fórmula que enlaza con otra hoja.</x:v>
      </x:c>
      <x:c r="C16" s="183"/>
      <x:c r="D16" s="183"/>
      <x:c r="E16" s="183"/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>
      <x:c r="A17" s="44" t="str">
        <x:v>Texto negro</x:v>
      </x:c>
      <x:c r="B17" s="185" t="str">
        <x:v>Cálculo dentro de la hoja.</x:v>
      </x:c>
      <x:c r="C17" s="183"/>
      <x:c r="D17" s="183"/>
      <x:c r="E17" s="183"/>
      <x:c r="F17" s="183"/>
      <x:c r="G17" s="183"/>
      <x:c r="H17" s="183"/>
      <x:c r="I17" s="183"/>
      <x:c r="J17" s="183"/>
      <x:c r="K17" s="183"/>
      <x:c r="L17" s="183"/>
      <x:c r="M17" s="183"/>
      <x:c r="N17" s="183"/>
    </x:row>
    <x:row r="18">
      <x:c r="A18" s="44" t="str">
        <x:v>Números rojos entre paréntesis</x:v>
      </x:c>
      <x:c r="B18" s="185" t="str">
        <x:v>Importes negativos.</x:v>
      </x:c>
      <x:c r="C18" s="183"/>
      <x:c r="D18" s="183"/>
      <x:c r="E18" s="183"/>
      <x:c r="F18" s="183"/>
      <x:c r="G18" s="183"/>
      <x:c r="H18" s="183"/>
      <x:c r="I18" s="183"/>
      <x:c r="J18" s="183"/>
      <x:c r="K18" s="183"/>
      <x:c r="L18" s="183"/>
      <x:c r="M18" s="183"/>
      <x:c r="N18" s="183"/>
    </x:row>
    <x:row r="19">
      <x:c r="A19" s="44" t="str">
        <x:v>Guion (-)</x:v>
      </x:c>
      <x:c r="B19" s="185" t="str">
        <x:v>Valor igual a cero.</x:v>
      </x:c>
      <x:c r="C19" s="183"/>
      <x:c r="D19" s="183"/>
      <x:c r="E19" s="183"/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>
      <x:c r="A20" s="183"/>
      <x:c r="B20" s="183"/>
      <x:c r="C20" s="183"/>
      <x:c r="D20" s="183"/>
      <x:c r="E20" s="183"/>
      <x:c r="F20" s="183"/>
      <x:c r="G20" s="183"/>
      <x:c r="H20" s="183"/>
      <x:c r="I20" s="183"/>
      <x:c r="J20" s="183"/>
      <x:c r="K20" s="183"/>
      <x:c r="L20" s="183"/>
      <x:c r="M20" s="183"/>
      <x:c r="N20" s="183"/>
    </x:row>
    <x:row r="21" ht="22" customHeight="1">
      <x:c r="A21" s="21" t="str">
        <x:v>Advertencia importante</x:v>
      </x:c>
      <x:c r="B21" s="21"/>
      <x:c r="C21" s="21"/>
      <x:c r="D21" s="21"/>
      <x:c r="E21" s="21"/>
      <x:c r="F21" s="21"/>
      <x:c r="G21" s="21"/>
      <x:c r="H21" s="21"/>
      <x:c r="I21" s="183"/>
      <x:c r="J21" s="183"/>
      <x:c r="K21" s="183"/>
      <x:c r="L21" s="183"/>
      <x:c r="M21" s="183"/>
      <x:c r="N21" s="183"/>
    </x:row>
    <x:row r="22">
      <x:c r="A22" s="175" t="str">
        <x:v>Lootra sigue siendo una demostración con EUR Demo sin valor económico. El modelo empresarial real del Excel se basa en premium, publicidad, patrocinios, afiliación y cosméticos. La hoja 11_Economia_Demo sirve para estudiar cómo se comportaría una economía de juego, pero sus apuestas, depósitos, retiradas, GGR y tesorería no son ingresos ni obligaciones reales.</x:v>
      </x:c>
      <x:c r="B22" s="175"/>
      <x:c r="C22" s="175"/>
      <x:c r="D22" s="175"/>
      <x:c r="E22" s="175"/>
      <x:c r="F22" s="175"/>
      <x:c r="G22" s="175"/>
      <x:c r="H22" s="175"/>
      <x:c r="I22" s="183"/>
      <x:c r="J22" s="183"/>
      <x:c r="K22" s="183"/>
      <x:c r="L22" s="183"/>
      <x:c r="M22" s="183"/>
      <x:c r="N22" s="183"/>
    </x:row>
    <x:row r="23">
      <x:c r="A23" s="175"/>
      <x:c r="B23" s="175"/>
      <x:c r="C23" s="175"/>
      <x:c r="D23" s="175"/>
      <x:c r="E23" s="175"/>
      <x:c r="F23" s="175"/>
      <x:c r="G23" s="175"/>
      <x:c r="H23" s="175"/>
      <x:c r="I23" s="183"/>
      <x:c r="J23" s="183"/>
      <x:c r="K23" s="183"/>
      <x:c r="L23" s="183"/>
      <x:c r="M23" s="183"/>
      <x:c r="N23" s="183"/>
    </x:row>
    <x:row r="24">
      <x:c r="A24" s="175"/>
      <x:c r="B24" s="175"/>
      <x:c r="C24" s="175"/>
      <x:c r="D24" s="175"/>
      <x:c r="E24" s="175"/>
      <x:c r="F24" s="175"/>
      <x:c r="G24" s="175"/>
      <x:c r="H24" s="175"/>
      <x:c r="I24" s="183"/>
      <x:c r="J24" s="183"/>
      <x:c r="K24" s="183"/>
      <x:c r="L24" s="183"/>
      <x:c r="M24" s="183"/>
      <x:c r="N24" s="183"/>
    </x:row>
    <x:row r="25">
      <x:c r="A25" s="175"/>
      <x:c r="B25" s="175"/>
      <x:c r="C25" s="175"/>
      <x:c r="D25" s="175"/>
      <x:c r="E25" s="175"/>
      <x:c r="F25" s="175"/>
      <x:c r="G25" s="175"/>
      <x:c r="H25" s="175"/>
      <x:c r="I25" s="183"/>
      <x:c r="J25" s="183"/>
      <x:c r="K25" s="183"/>
      <x:c r="L25" s="183"/>
      <x:c r="M25" s="183"/>
      <x:c r="N25" s="183"/>
    </x:row>
    <x:row r="26">
      <x:c r="A26" s="183"/>
      <x:c r="B26" s="183"/>
      <x:c r="C26" s="183"/>
      <x:c r="D26" s="183"/>
      <x:c r="E26" s="183"/>
      <x:c r="F26" s="183"/>
      <x:c r="G26" s="183"/>
      <x:c r="H26" s="183"/>
      <x:c r="I26" s="183"/>
      <x:c r="J26" s="183"/>
      <x:c r="K26" s="183"/>
      <x:c r="L26" s="183"/>
      <x:c r="M26" s="183"/>
      <x:c r="N26" s="183"/>
    </x:row>
    <x:row r="27">
      <x:c r="A27" s="183"/>
      <x:c r="B27" s="183"/>
      <x:c r="C27" s="183"/>
      <x:c r="D27" s="183"/>
      <x:c r="E27" s="183"/>
      <x:c r="F27" s="183"/>
      <x:c r="G27" s="183"/>
      <x:c r="H27" s="183"/>
      <x:c r="I27" s="183"/>
      <x:c r="J27" s="183"/>
      <x:c r="K27" s="183"/>
      <x:c r="L27" s="183"/>
      <x:c r="M27" s="183"/>
      <x:c r="N27" s="183"/>
    </x:row>
    <x:row r="28">
      <x:c r="A28" s="183"/>
      <x:c r="B28" s="183"/>
      <x:c r="C28" s="183"/>
      <x:c r="D28" s="183"/>
      <x:c r="E28" s="183"/>
      <x:c r="F28" s="183"/>
      <x:c r="G28" s="183"/>
      <x:c r="H28" s="183"/>
      <x:c r="I28" s="183"/>
      <x:c r="J28" s="183"/>
      <x:c r="K28" s="183"/>
      <x:c r="L28" s="183"/>
      <x:c r="M28" s="183"/>
      <x:c r="N28" s="183"/>
    </x:row>
    <x:row r="29">
      <x:c r="A29" s="183"/>
      <x:c r="B29" s="183"/>
      <x:c r="C29" s="183"/>
      <x:c r="D29" s="183"/>
      <x:c r="E29" s="183"/>
      <x:c r="F29" s="183"/>
      <x:c r="G29" s="183"/>
      <x:c r="H29" s="183"/>
      <x:c r="I29" s="183"/>
      <x:c r="J29" s="183"/>
      <x:c r="K29" s="183"/>
      <x:c r="L29" s="183"/>
      <x:c r="M29" s="183"/>
      <x:c r="N29" s="183"/>
    </x:row>
    <x:row r="30">
      <x:c r="A30" s="183"/>
      <x:c r="B30" s="183"/>
      <x:c r="C30" s="183"/>
      <x:c r="D30" s="183"/>
      <x:c r="E30" s="183"/>
      <x:c r="F30" s="183"/>
      <x:c r="G30" s="183"/>
      <x:c r="H30" s="183"/>
      <x:c r="I30" s="183"/>
      <x:c r="J30" s="183"/>
      <x:c r="K30" s="183"/>
      <x:c r="L30" s="183"/>
      <x:c r="M30" s="183"/>
      <x:c r="N30" s="183"/>
    </x:row>
    <x:row r="31">
      <x:c r="A31" s="183"/>
      <x:c r="B31" s="183"/>
      <x:c r="C31" s="183"/>
      <x:c r="D31" s="183"/>
      <x:c r="E31" s="183"/>
      <x:c r="F31" s="183"/>
      <x:c r="G31" s="183"/>
      <x:c r="H31" s="183"/>
      <x:c r="I31" s="183"/>
      <x:c r="J31" s="183"/>
      <x:c r="K31" s="183"/>
      <x:c r="L31" s="183"/>
      <x:c r="M31" s="183"/>
      <x:c r="N31" s="183"/>
    </x:row>
    <x:row r="32">
      <x:c r="A32" s="183"/>
      <x:c r="B32" s="183"/>
      <x:c r="C32" s="183"/>
      <x:c r="D32" s="183"/>
      <x:c r="E32" s="183"/>
      <x:c r="F32" s="183"/>
      <x:c r="G32" s="183"/>
      <x:c r="H32" s="183"/>
      <x:c r="I32" s="183"/>
      <x:c r="J32" s="183"/>
      <x:c r="K32" s="183"/>
      <x:c r="L32" s="183"/>
      <x:c r="M32" s="183"/>
      <x:c r="N32" s="183"/>
    </x:row>
    <x:row r="33">
      <x:c r="A33" s="183"/>
      <x:c r="B33" s="183"/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</x:row>
    <x:row r="34">
      <x:c r="A34" s="183"/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</x:row>
    <x:row r="35">
      <x:c r="A35" s="183"/>
      <x:c r="B35" s="183"/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  <x:c r="I37" s="183"/>
      <x:c r="J37" s="183"/>
      <x:c r="K37" s="183"/>
      <x:c r="L37" s="183"/>
      <x:c r="M37" s="183"/>
      <x:c r="N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H1"/>
    <x:mergeCell ref="A2:H2"/>
    <x:mergeCell ref="A4:H4"/>
    <x:mergeCell ref="A13:H13"/>
    <x:mergeCell ref="A21:H21"/>
    <x:mergeCell ref="A22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38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5" t="str">
        <x:v>Resumen del proyecto y modelo de negocio - Lootra V5</x:v>
      </x:c>
      <x:c r="B1" s="5"/>
      <x:c r="C1" s="5"/>
      <x:c r="D1" s="5"/>
      <x:c r="E1" s="5"/>
      <x:c r="F1" s="5"/>
      <x:c r="G1" s="5"/>
      <x:c r="H1" s="5"/>
      <x:c r="I1" s="183"/>
      <x:c r="J1" s="183"/>
      <x:c r="K1" s="183"/>
      <x:c r="L1" s="183"/>
      <x:c r="M1" s="183"/>
      <x:c r="N1" s="183"/>
    </x:row>
    <x:row r="2" ht="34" customHeight="1">
      <x:c r="A2" s="13" t="str">
        <x:v>Diagnóstico actualizado a partir de la guía y de la última versión del código fuente entregado.</x:v>
      </x:c>
      <x:c r="B2" s="13"/>
      <x:c r="C2" s="13"/>
      <x:c r="D2" s="13"/>
      <x:c r="E2" s="13"/>
      <x:c r="F2" s="13"/>
      <x:c r="G2" s="13"/>
      <x:c r="H2" s="1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 ht="22" customHeight="1">
      <x:c r="A4" s="21" t="str">
        <x:v>Descripción de la plataforma</x:v>
      </x:c>
      <x:c r="B4" s="21"/>
      <x:c r="C4" s="21"/>
      <x:c r="D4" s="21"/>
      <x:c r="E4" s="21"/>
      <x:c r="F4" s="21"/>
      <x:c r="G4" s="21"/>
      <x:c r="H4" s="21"/>
      <x:c r="I4" s="183"/>
      <x:c r="J4" s="183"/>
      <x:c r="K4" s="183"/>
      <x:c r="L4" s="183"/>
      <x:c r="M4" s="183"/>
      <x:c r="N4" s="183"/>
    </x:row>
    <x:row r="5">
      <x:c r="A5" s="30" t="str">
        <x:v>Elemento</x:v>
      </x:c>
      <x:c r="B5" s="30" t="str">
        <x:v>Descripción</x:v>
      </x:c>
      <x:c r="C5" s="30" t="str">
        <x:v>Evidencia en el proyecto</x:v>
      </x:c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</x:row>
    <x:row r="6">
      <x:c r="A6" s="44" t="str">
        <x:v>Nombre</x:v>
      </x:c>
      <x:c r="B6" s="185" t="str">
        <x:v>Lootra</x:v>
      </x:c>
      <x:c r="C6" s="185" t="str">
        <x:v>Textos y vistas del proyecto</x:v>
      </x:c>
      <x:c r="D6" s="183"/>
      <x:c r="E6" s="183"/>
      <x:c r="F6" s="183"/>
      <x:c r="G6" s="183"/>
      <x:c r="H6" s="183"/>
      <x:c r="I6" s="183"/>
      <x:c r="J6" s="183"/>
      <x:c r="K6" s="183"/>
      <x:c r="L6" s="183"/>
      <x:c r="M6" s="183"/>
      <x:c r="N6" s="183"/>
    </x:row>
    <x:row r="7">
      <x:c r="A7" s="44" t="str">
        <x:v>Tipo actual</x:v>
      </x:c>
      <x:c r="B7" s="185" t="str">
        <x:v>Laravel 12.61, PHP 8.2+, MySQL, Tailwind CSS 4.3, Alpine.js, Vite 8, Chart.js y Playwright.</x:v>
      </x:c>
      <x:c r="C7" s="185" t="str">
        <x:v>composer.json y package.json</x:v>
      </x:c>
      <x:c r="D7" s="183"/>
      <x:c r="E7" s="183"/>
      <x:c r="F7" s="183"/>
      <x:c r="G7" s="183"/>
      <x:c r="H7" s="183"/>
      <x:c r="I7" s="183"/>
      <x:c r="J7" s="183"/>
      <x:c r="K7" s="183"/>
      <x:c r="L7" s="183"/>
      <x:c r="M7" s="183"/>
      <x:c r="N7" s="183"/>
    </x:row>
    <x:row r="8">
      <x:c r="A8" s="44" t="str">
        <x:v>Tecnología</x:v>
      </x:c>
      <x:c r="B8" s="185" t="str">
        <x:v>21 juegos configurados: slots, ruleta, blackjack, crash, póker, cartas, números y arcade.</x:v>
      </x:c>
      <x:c r="C8" s="185" t="str">
        <x:v>config/casino_games.php</x:v>
      </x:c>
      <x:c r="D8" s="183"/>
      <x:c r="E8" s="183"/>
      <x:c r="F8" s="183"/>
      <x:c r="G8" s="183"/>
      <x:c r="H8" s="183"/>
      <x:c r="I8" s="183"/>
      <x:c r="J8" s="183"/>
      <x:c r="K8" s="183"/>
      <x:c r="L8" s="183"/>
      <x:c r="M8" s="183"/>
      <x:c r="N8" s="183"/>
    </x:row>
    <x:row r="9">
      <x:c r="A9" s="44" t="str">
        <x:v>Catálogo</x:v>
      </x:c>
      <x:c r="B9" s="185" t="str">
        <x:v>11 juegos propios Lootra Originals; el catálogo no cambia respecto a la versión anterior.</x:v>
      </x:c>
      <x:c r="C9" s="185" t="str">
        <x:v>config/arcade_games.php</x:v>
      </x:c>
      <x:c r="D9" s="183"/>
      <x:c r="E9" s="183"/>
      <x:c r="F9" s="183"/>
      <x:c r="G9" s="183"/>
      <x:c r="H9" s="183"/>
      <x:c r="I9" s="183"/>
      <x:c r="J9" s="183"/>
      <x:c r="K9" s="183"/>
      <x:c r="L9" s="183"/>
      <x:c r="M9" s="183"/>
      <x:c r="N9" s="183"/>
    </x:row>
    <x:row r="10">
      <x:c r="A10" s="44" t="str">
        <x:v>Originales</x:v>
      </x:c>
      <x:c r="B10" s="185" t="str">
        <x:v>Apuestas deportivas simuladas, cajas cosméticas, inventario, retos, campañas, rankings, reseñas, newsletter, panel administrativo, libro mayor, tesorería demo, retiradas ficticias y simulador económico.</x:v>
      </x:c>
      <x:c r="C10" s="185" t="str">
        <x:v>Rutas, controladores, servicios, migraciones y vistas</x:v>
      </x:c>
      <x:c r="D10" s="183"/>
      <x:c r="E10" s="183"/>
      <x:c r="F10" s="183"/>
      <x:c r="G10" s="183"/>
      <x:c r="H10" s="183"/>
      <x:c r="I10" s="183"/>
      <x:c r="J10" s="183"/>
      <x:c r="K10" s="183"/>
      <x:c r="L10" s="183"/>
      <x:c r="M10" s="183"/>
      <x:c r="N10" s="183"/>
    </x:row>
    <x:row r="11">
      <x:c r="A11" s="44" t="str">
        <x:v>Otras funciones</x:v>
      </x:c>
      <x:c r="B11" s="185" t="str">
        <x:v>1.000 EUR Demo después de verificar el correo electrónico.</x:v>
      </x:c>
      <x:c r="C11" s="185" t="str">
        <x:v>RegistrationBonusService y configuración de features</x:v>
      </x:c>
      <x:c r="D11" s="183"/>
      <x:c r="E11" s="183"/>
      <x:c r="F11" s="183"/>
      <x:c r="G11" s="183"/>
      <x:c r="H11" s="183"/>
      <x:c r="I11" s="183"/>
      <x:c r="J11" s="183"/>
      <x:c r="K11" s="183"/>
      <x:c r="L11" s="183"/>
      <x:c r="M11" s="183"/>
      <x:c r="N11" s="183"/>
    </x:row>
    <x:row r="12">
      <x:c r="A12" s="44" t="str">
        <x:v>Saldo inicial</x:v>
      </x:c>
      <x:c r="B12" s="185" t="str">
        <x:v>Depósitos y retiradas exclusivamente demo, protegidos por feature flags, idempotencia, reservas y avisos permanentes de que no existe dinero real.</x:v>
      </x:c>
      <x:c r="C12" s="185" t="str">
        <x:v>config/features.php, LedgerService y DemoTreasuryService</x:v>
      </x:c>
      <x:c r="D12" s="183"/>
      <x:c r="E12" s="183"/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>
      <x:c r="A13" s="44" t="str">
        <x:v>Depósito actual</x:v>
      </x:c>
      <x:c r="B13" s="185" t="str">
        <x:v>No existe integración con Stripe, PayPal, bancos, criptomonedas o premios físicos.</x:v>
      </x:c>
      <x:c r="C13" s="185" t="str">
        <x:v>README, dependencias y servicios revisados</x:v>
      </x:c>
      <x:c r="D13" s="183"/>
      <x:c r="E13" s="183"/>
      <x:c r="F13" s="183"/>
      <x:c r="G13" s="183"/>
      <x:c r="H13" s="183"/>
      <x:c r="I13" s="183"/>
      <x:c r="J13" s="183"/>
      <x:c r="K13" s="183"/>
      <x:c r="L13" s="183"/>
      <x:c r="M13" s="183"/>
      <x:c r="N13" s="183"/>
    </x:row>
    <x:row r="14">
      <x:c r="A14" s="183" t="str">
        <x:v>Pagos reales detectados</x:v>
      </x:c>
      <x:c r="B14" s="183" t="str">
        <x:v>No se ha detectado integración de Stripe, PayPal u otra pasarela de pago.</x:v>
      </x:c>
      <x:c r="C14" s="183" t="str">
        <x:v>Revisión de dependencias y controladores</x:v>
      </x:c>
      <x:c r="D14" s="183"/>
      <x:c r="E14" s="183"/>
      <x:c r="F14" s="183"/>
      <x:c r="G14" s="183"/>
      <x:c r="H14" s="183"/>
      <x:c r="I14" s="183"/>
      <x:c r="J14" s="183"/>
      <x:c r="K14" s="183"/>
      <x:c r="L14" s="183"/>
      <x:c r="M14" s="183"/>
      <x:c r="N14" s="183"/>
    </x:row>
    <x:row r="15" ht="22" customHeight="1">
      <x:c r="A15" s="21" t="str">
        <x:v>Propuesta de valor y público objetivo</x:v>
      </x:c>
      <x:c r="B15" s="21"/>
      <x:c r="C15" s="21"/>
      <x:c r="D15" s="21"/>
      <x:c r="E15" s="21"/>
      <x:c r="F15" s="21"/>
      <x:c r="G15" s="21"/>
      <x:c r="H15" s="21"/>
      <x:c r="I15" s="183"/>
      <x:c r="J15" s="183"/>
      <x:c r="K15" s="183"/>
      <x:c r="L15" s="183"/>
      <x:c r="M15" s="183"/>
      <x:c r="N15" s="183"/>
    </x:row>
    <x:row r="16">
      <x:c r="A16" s="30" t="str">
        <x:v>Bloque</x:v>
      </x:c>
      <x:c r="B16" s="30" t="str">
        <x:v>Propuesta</x:v>
      </x:c>
      <x:c r="C16" s="183"/>
      <x:c r="D16" s="183"/>
      <x:c r="E16" s="183"/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>
      <x:c r="A17" s="44" t="str">
        <x:v>Problema</x:v>
      </x:c>
      <x:c r="B17" s="185" t="str">
        <x:v>Las experiencias de casino web suelen ser genéricas, poco claras o requieren dinero real desde el principio.</x:v>
      </x:c>
      <x:c r="C17" s="183"/>
      <x:c r="D17" s="183"/>
      <x:c r="E17" s="183"/>
      <x:c r="F17" s="183"/>
      <x:c r="G17" s="183"/>
      <x:c r="H17" s="183"/>
      <x:c r="I17" s="183"/>
      <x:c r="J17" s="183"/>
      <x:c r="K17" s="183"/>
      <x:c r="L17" s="183"/>
      <x:c r="M17" s="183"/>
      <x:c r="N17" s="183"/>
    </x:row>
    <x:row r="18">
      <x:c r="A18" s="44" t="str">
        <x:v>Solución</x:v>
      </x:c>
      <x:c r="B18" s="185" t="str">
        <x:v>Las plataformas demo complejas suelen carecer de trazabilidad económica, coherencia visual o una forma clara de demostrar qué ocurriría con usuarios, costes, apuestas y tesorería.</x:v>
      </x:c>
      <x:c r="C18" s="183"/>
      <x:c r="D18" s="183"/>
      <x:c r="E18" s="183"/>
      <x:c r="F18" s="183"/>
      <x:c r="G18" s="183"/>
      <x:c r="H18" s="183"/>
      <x:c r="I18" s="183"/>
      <x:c r="J18" s="183"/>
      <x:c r="K18" s="183"/>
      <x:c r="L18" s="183"/>
      <x:c r="M18" s="183"/>
      <x:c r="N18" s="183"/>
    </x:row>
    <x:row r="19">
      <x:c r="A19" s="44" t="str">
        <x:v>Público inicial</x:v>
      </x:c>
      <x:c r="B19" s="185" t="str">
        <x:v>Una experiencia web completa con 21 juegos, economía virtual auditable, tesorería y retiradas simuladas, retos, campañas y métricas, sin utilizar ni solicitar dinero real.</x:v>
      </x:c>
      <x:c r="C19" s="183"/>
      <x:c r="D19" s="183"/>
      <x:c r="E19" s="183"/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>
      <x:c r="A20" s="44" t="str">
        <x:v>Diferenciación</x:v>
      </x:c>
      <x:c r="B20" s="185" t="str">
        <x:v>Personas adultas interesadas en gaming casual, estudiantes, docentes, comunidades, creadores y empresas que quieran observar una demostración de producto gamificado.</x:v>
      </x:c>
      <x:c r="C20" s="183"/>
      <x:c r="D20" s="183"/>
      <x:c r="E20" s="183"/>
      <x:c r="F20" s="183"/>
      <x:c r="G20" s="183"/>
      <x:c r="H20" s="183"/>
      <x:c r="I20" s="183"/>
      <x:c r="J20" s="183"/>
      <x:c r="K20" s="183"/>
      <x:c r="L20" s="183"/>
      <x:c r="M20" s="183"/>
      <x:c r="N20" s="183"/>
    </x:row>
    <x:row r="21">
      <x:c r="A21" s="44" t="str">
        <x:v>Hipótesis clave</x:v>
      </x:c>
      <x:c r="B21" s="185" t="str">
        <x:v>Lootra Originals, sistema visual propio, economía de doble entrada, simulaciones reproducibles y una experiencia unificada que puede presentarse como proyecto final o base B2B.</x:v>
      </x:c>
      <x:c r="C21" s="183"/>
      <x:c r="D21" s="183"/>
      <x:c r="E21" s="183"/>
      <x:c r="F21" s="183"/>
      <x:c r="G21" s="183"/>
      <x:c r="H21" s="183"/>
      <x:c r="I21" s="183"/>
      <x:c r="J21" s="183"/>
      <x:c r="K21" s="183"/>
      <x:c r="L21" s="183"/>
      <x:c r="M21" s="183"/>
      <x:c r="N21" s="183"/>
    </x:row>
    <x:row r="22">
      <x:c r="A22" s="183"/>
      <x:c r="B22" s="183"/>
      <x:c r="C22" s="183"/>
      <x:c r="D22" s="183"/>
      <x:c r="E22" s="183"/>
      <x:c r="F22" s="183"/>
      <x:c r="G22" s="183"/>
      <x:c r="H22" s="183"/>
      <x:c r="I22" s="183"/>
      <x:c r="J22" s="183"/>
      <x:c r="K22" s="183"/>
      <x:c r="L22" s="183"/>
      <x:c r="M22" s="183"/>
      <x:c r="N22" s="183"/>
    </x:row>
    <x:row r="23" ht="22" customHeight="1">
      <x:c r="A23" s="21" t="str">
        <x:v>Monetización recomendada por fases</x:v>
      </x:c>
      <x:c r="B23" s="21"/>
      <x:c r="C23" s="21"/>
      <x:c r="D23" s="21"/>
      <x:c r="E23" s="21"/>
      <x:c r="F23" s="21"/>
      <x:c r="G23" s="21"/>
      <x:c r="H23" s="21"/>
      <x:c r="I23" s="183"/>
      <x:c r="J23" s="183"/>
      <x:c r="K23" s="183"/>
      <x:c r="L23" s="183"/>
      <x:c r="M23" s="183"/>
      <x:c r="N23" s="183"/>
    </x:row>
    <x:row r="24">
      <x:c r="A24" s="30" t="str">
        <x:v>Prioridad</x:v>
      </x:c>
      <x:c r="B24" s="30" t="str">
        <x:v>Vía de ingreso</x:v>
      </x:c>
      <x:c r="C24" s="30" t="str">
        <x:v>Uso recomendado</x:v>
      </x:c>
      <x:c r="D24" s="30" t="str">
        <x:v>Estado en el modelo</x:v>
      </x:c>
      <x:c r="E24" s="183"/>
      <x:c r="F24" s="183"/>
      <x:c r="G24" s="183"/>
      <x:c r="H24" s="183"/>
      <x:c r="I24" s="183"/>
      <x:c r="J24" s="183"/>
      <x:c r="K24" s="183"/>
      <x:c r="L24" s="183"/>
      <x:c r="M24" s="183"/>
      <x:c r="N24" s="183"/>
    </x:row>
    <x:row r="25">
      <x:c r="A25" s="184" t="str">
        <x:v>1</x:v>
      </x:c>
      <x:c r="B25" s="185" t="str">
        <x:v>Premium mensual</x:v>
      </x:c>
      <x:c r="C25" s="185" t="str">
        <x:v>Eliminar publicidad, cosméticos, estadísticas, personalización y ventajas no monetarias.</x:v>
      </x:c>
      <x:c r="D25" s="185" t="str">
        <x:v>Activado en el modelo</x:v>
      </x:c>
      <x:c r="E25" s="183"/>
      <x:c r="F25" s="183"/>
      <x:c r="G25" s="183"/>
      <x:c r="H25" s="183"/>
      <x:c r="I25" s="183"/>
      <x:c r="J25" s="183"/>
      <x:c r="K25" s="183"/>
      <x:c r="L25" s="183"/>
      <x:c r="M25" s="183"/>
      <x:c r="N25" s="183"/>
    </x:row>
    <x:row r="26">
      <x:c r="A26" s="184" t="str">
        <x:v>2</x:v>
      </x:c>
      <x:c r="B26" s="185" t="str">
        <x:v>Patrocinios y publicidad</x:v>
      </x:c>
      <x:c r="C26" s="185" t="str">
        <x:v>Campañas de marca, retos patrocinados y espacios moderados en catálogo/newsletter.</x:v>
      </x:c>
      <x:c r="D26" s="185" t="str">
        <x:v>Activado en el modelo</x:v>
      </x:c>
      <x:c r="E26" s="183"/>
      <x:c r="F26" s="183"/>
      <x:c r="G26" s="183"/>
      <x:c r="H26" s="183"/>
      <x:c r="I26" s="183"/>
      <x:c r="J26" s="183"/>
      <x:c r="K26" s="183"/>
      <x:c r="L26" s="183"/>
      <x:c r="M26" s="183"/>
      <x:c r="N26" s="183"/>
    </x:row>
    <x:row r="27">
      <x:c r="A27" s="184" t="str">
        <x:v>3</x:v>
      </x:c>
      <x:c r="B27" s="185" t="str">
        <x:v>Afiliación</x:v>
      </x:c>
      <x:c r="C27" s="185" t="str">
        <x:v>Derivación identificada a servicios legales y compatibles con la audiencia.</x:v>
      </x:c>
      <x:c r="D27" s="185" t="str">
        <x:v>Activado en el modelo</x:v>
      </x:c>
      <x:c r="E27" s="183"/>
      <x:c r="F27" s="183"/>
      <x:c r="G27" s="183"/>
      <x:c r="H27" s="183"/>
      <x:c r="I27" s="183"/>
      <x:c r="J27" s="183"/>
      <x:c r="K27" s="183"/>
      <x:c r="L27" s="183"/>
      <x:c r="M27" s="183"/>
      <x:c r="N27" s="183"/>
    </x:row>
    <x:row r="28">
      <x:c r="A28" s="184" t="str">
        <x:v>4</x:v>
      </x:c>
      <x:c r="B28" s="185" t="str">
        <x:v>Licencias B2B</x:v>
      </x:c>
      <x:c r="C28" s="185" t="str">
        <x:v>Adaptar Lootra Originals, campañas o simuladores para centros, marcas y comunidades.</x:v>
      </x:c>
      <x:c r="D28" s="185" t="str">
        <x:v>Recomendado como siguiente fase</x:v>
      </x:c>
      <x:c r="E28" s="183"/>
      <x:c r="F28" s="183"/>
      <x:c r="G28" s="183"/>
      <x:c r="H28" s="183"/>
      <x:c r="I28" s="183"/>
      <x:c r="J28" s="183"/>
      <x:c r="K28" s="183"/>
      <x:c r="L28" s="183"/>
      <x:c r="M28" s="183"/>
      <x:c r="N28" s="183"/>
    </x:row>
    <x:row r="29">
      <x:c r="A29" s="184" t="str">
        <x:v>5</x:v>
      </x:c>
      <x:c r="B29" s="185" t="str">
        <x:v>Dinero real o premios convertibles</x:v>
      </x:c>
      <x:c r="C29" s="185" t="str">
        <x:v>Fuera del alcance de la demo y desactivado.</x:v>
      </x:c>
      <x:c r="D29" s="185" t="str">
        <x:v>No incluido</x:v>
      </x:c>
      <x:c r="E29" s="183"/>
      <x:c r="F29" s="183"/>
      <x:c r="G29" s="183"/>
      <x:c r="H29" s="183"/>
      <x:c r="I29" s="183"/>
      <x:c r="J29" s="183"/>
      <x:c r="K29" s="183"/>
      <x:c r="L29" s="183"/>
      <x:c r="M29" s="183"/>
      <x:c r="N29" s="183"/>
    </x:row>
    <x:row r="30">
      <x:c r="A30" s="183"/>
      <x:c r="B30" s="183"/>
      <x:c r="C30" s="183"/>
      <x:c r="D30" s="183"/>
      <x:c r="E30" s="183"/>
      <x:c r="F30" s="183"/>
      <x:c r="G30" s="183"/>
      <x:c r="H30" s="183"/>
      <x:c r="I30" s="183"/>
      <x:c r="J30" s="183"/>
      <x:c r="K30" s="183"/>
      <x:c r="L30" s="183"/>
      <x:c r="M30" s="183"/>
      <x:c r="N30" s="183"/>
    </x:row>
    <x:row r="31" ht="22" customHeight="1">
      <x:c r="A31" s="21" t="str">
        <x:v>Indicadores que deben controlarse</x:v>
      </x:c>
      <x:c r="B31" s="21"/>
      <x:c r="C31" s="21"/>
      <x:c r="D31" s="21"/>
      <x:c r="E31" s="21"/>
      <x:c r="F31" s="21"/>
      <x:c r="G31" s="21"/>
      <x:c r="H31" s="21"/>
      <x:c r="I31" s="183"/>
      <x:c r="J31" s="183"/>
      <x:c r="K31" s="183"/>
      <x:c r="L31" s="183"/>
      <x:c r="M31" s="183"/>
      <x:c r="N31" s="183"/>
    </x:row>
    <x:row r="32">
      <x:c r="A32" s="44" t="str">
        <x:v>Adquisición</x:v>
      </x:c>
      <x:c r="B32" s="185" t="str">
        <x:v>Registros nuevos, CAC, conversión de campaña y coste por usuario activo.</x:v>
      </x:c>
      <x:c r="C32" s="183"/>
      <x:c r="D32" s="183"/>
      <x:c r="E32" s="183"/>
      <x:c r="F32" s="183"/>
      <x:c r="G32" s="183"/>
      <x:c r="H32" s="183"/>
      <x:c r="I32" s="183"/>
      <x:c r="J32" s="183"/>
      <x:c r="K32" s="183"/>
      <x:c r="L32" s="183"/>
      <x:c r="M32" s="183"/>
      <x:c r="N32" s="183"/>
    </x:row>
    <x:row r="33">
      <x:c r="A33" s="44" t="str">
        <x:v>Activación</x:v>
      </x:c>
      <x:c r="B33" s="185" t="str">
        <x:v>% de usuarios que juegan durante los primeros 7 días.</x:v>
      </x:c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</x:row>
    <x:row r="34">
      <x:c r="A34" s="44" t="str">
        <x:v>Retención</x:v>
      </x:c>
      <x:c r="B34" s="185" t="str">
        <x:v>Usuarios activos mensuales, churn y partidas por usuario.</x:v>
      </x:c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</x:row>
    <x:row r="35">
      <x:c r="A35" s="44" t="str">
        <x:v>Monetización</x:v>
      </x:c>
      <x:c r="B35" s="185" t="str">
        <x:v>Ingreso por partida, conversión premium, ARPU y margen por usuario activo.</x:v>
      </x:c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>
      <x:c r="A36" s="44" t="str">
        <x:v>Producto</x:v>
      </x:c>
      <x:c r="B36" s="185" t="str">
        <x:v>Juegos por sesión, errores, FPS, tiempo de carga y satisfacción.</x:v>
      </x:c>
      <x:c r="C36" s="183"/>
      <x:c r="D36" s="183"/>
      <x:c r="E36" s="183"/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>
      <x:c r="A37" s="44" t="str">
        <x:v>Riesgo</x:v>
      </x:c>
      <x:c r="B37" s="185" t="str">
        <x:v>Incidencias legales, privacidad, fraude, menores, juego responsable y reclamaciones.</x:v>
      </x:c>
      <x:c r="C37" s="183"/>
      <x:c r="D37" s="183"/>
      <x:c r="E37" s="183"/>
      <x:c r="F37" s="183"/>
      <x:c r="G37" s="183"/>
      <x:c r="H37" s="183"/>
      <x:c r="I37" s="183"/>
      <x:c r="J37" s="183"/>
      <x:c r="K37" s="183"/>
      <x:c r="L37" s="183"/>
      <x:c r="M37" s="183"/>
      <x:c r="N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 ht="22" customHeight="1">
      <x:c r="A39" s="300" t="str">
        <x:v>Madurez actual de la última versión</x:v>
      </x:c>
      <x:c r="B39" s="300"/>
      <x:c r="C39" s="300"/>
      <x:c r="D39" s="300"/>
      <x:c r="E39" s="300"/>
      <x:c r="F39" s="300"/>
      <x:c r="G39" s="300"/>
      <x:c r="H39" s="300"/>
      <x:c r="I39" s="183"/>
      <x:c r="J39" s="183"/>
      <x:c r="K39" s="183"/>
      <x:c r="L39" s="183"/>
      <x:c r="M39" s="183"/>
      <x:c r="N39" s="183"/>
    </x:row>
    <x:row r="40">
      <x:c r="A40" s="301" t="str">
        <x:v>Área</x:v>
      </x:c>
      <x:c r="B40" s="301" t="str">
        <x:v>Estado actual</x:v>
      </x:c>
      <x:c r="C40" s="301" t="str">
        <x:v>Impacto empresarial</x:v>
      </x:c>
      <x:c r="D40" s="183"/>
      <x:c r="E40" s="183"/>
      <x:c r="F40" s="183"/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302" t="str">
        <x:v>Producto</x:v>
      </x:c>
      <x:c r="B41" s="185" t="str">
        <x:v>21 juegos y 11 Lootra Originals.</x:v>
      </x:c>
      <x:c r="C41" s="185" t="str">
        <x:v>La hipótesis de demanda y actividad se mantiene.</x:v>
      </x:c>
      <x:c r="D41" s="183"/>
      <x:c r="E41" s="183"/>
      <x:c r="F41" s="183"/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302" t="str">
        <x:v>Economía demo</x:v>
      </x:c>
      <x:c r="B42" s="185" t="str">
        <x:v>Libro mayor de doble entrada, movimientos auditables y saldos bloqueados.</x:v>
      </x:c>
      <x:c r="C42" s="185" t="str">
        <x:v>Aumenta mucho el valor de demostración y reduce errores.</x:v>
      </x:c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302" t="str">
        <x:v>Tesorería</x:v>
      </x:c>
      <x:c r="B43" s="185" t="str">
        <x:v>Reserva de retiradas, saldo disponible y cobertura de pasivos ficticios.</x:v>
      </x:c>
      <x:c r="C43" s="185" t="str">
        <x:v>Permite presentar una simulación empresarial más creíble.</x:v>
      </x:c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302" t="str">
        <x:v>Matemáticas</x:v>
      </x:c>
      <x:c r="B44" s="185" t="str">
        <x:v>Versiones por juego, RTP objetivo y Crash con exposición limitada.</x:v>
      </x:c>
      <x:c r="C44" s="185" t="str">
        <x:v>Facilita explicar margen, riesgo y resultados observados.</x:v>
      </x:c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302" t="str">
        <x:v>Simulación</x:v>
      </x:c>
      <x:c r="B45" s="185" t="str">
        <x:v>Comando determinista sin escritura en base de datos.</x:v>
      </x:c>
      <x:c r="C45" s="185" t="str">
        <x:v>Permite comparar escenarios, no sustituye una previsión real.</x:v>
      </x:c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302" t="str">
        <x:v>Pruebas</x:v>
      </x:c>
      <x:c r="B46" s="185" t="str">
        <x:v>159 métodos PHP y 3 pruebas Playwright detectadas.</x:v>
      </x:c>
      <x:c r="C46" s="185" t="str">
        <x:v>Mayor confianza, aunque falta validar infraestructura externa.</x:v>
      </x:c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302" t="str">
        <x:v>Diseño</x:v>
      </x:c>
      <x:c r="B47" s="185" t="str">
        <x:v>215 recursos gráficos, aproximadamente 64,9 MB.</x:v>
      </x:c>
      <x:c r="C47" s="185" t="str">
        <x:v>Buena presentación; requiere optimización, caché y CDN.</x:v>
      </x:c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302" t="str">
        <x:v>Documentación</x:v>
      </x:c>
      <x:c r="B48" s="185" t="str">
        <x:v>README, arquitectura, guía demo, economía y capturas finales.</x:v>
      </x:c>
      <x:c r="C48" s="185" t="str">
        <x:v>Reduce tiempo de instalación y presentación.</x:v>
      </x:c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302" t="str">
        <x:v>Alcance</x:v>
      </x:c>
      <x:c r="B49" s="185" t="str">
        <x:v>Todo el dinero sigue siendo EUR Demo no canjeable.</x:v>
      </x:c>
      <x:c r="C49" s="185" t="str">
        <x:v>El plan real debe monetizar por servicios, premium y publicidad.</x:v>
      </x:c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H1"/>
    <x:mergeCell ref="A2:H2"/>
    <x:mergeCell ref="A4:H4"/>
    <x:mergeCell ref="A15:H15"/>
    <x:mergeCell ref="A23:H23"/>
    <x:mergeCell ref="A31:H31"/>
    <x:mergeCell ref="A39:H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2" customHeight="1">
      <x:c r="A1" s="5" t="str">
        <x:v>Escenarios y variables editables - Lootra V5</x:v>
      </x:c>
      <x:c r="B1" s="5"/>
      <x:c r="C1" s="5"/>
      <x:c r="D1" s="5"/>
      <x:c r="E1" s="5"/>
      <x:c r="F1" s="5"/>
      <x:c r="G1" s="5"/>
      <x:c r="H1" s="183"/>
      <x:c r="I1" s="183"/>
      <x:c r="J1" s="183"/>
      <x:c r="K1" s="183"/>
      <x:c r="L1" s="183"/>
      <x:c r="M1" s="183"/>
      <x:c r="N1" s="183"/>
    </x:row>
    <x:row r="2" ht="34" customHeight="1">
      <x:c r="A2" s="13" t="str">
        <x:v>Se mantienen los supuestos de usuarios e ingresos del plan anterior. Los cambios se concentran en mantenimiento, soporte, infraestructura, inversión técnica y el coste real de cosméticos.</x:v>
      </x:c>
      <x:c r="B2" s="13"/>
      <x:c r="C2" s="13"/>
      <x:c r="D2" s="13"/>
      <x:c r="E2" s="13"/>
      <x:c r="F2" s="13"/>
      <x:c r="G2" s="13"/>
      <x:c r="H2" s="18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30" t="str">
        <x:v>Variable</x:v>
      </x:c>
      <x:c r="B4" s="30" t="str">
        <x:v>Conservador</x:v>
      </x:c>
      <x:c r="C4" s="30" t="str">
        <x:v>Realista</x:v>
      </x:c>
      <x:c r="D4" s="30" t="str">
        <x:v>Optimista</x:v>
      </x:c>
      <x:c r="E4" s="30" t="str">
        <x:v>Personalizado</x:v>
      </x:c>
      <x:c r="F4" s="30" t="str">
        <x:v>Unidad</x:v>
      </x:c>
      <x:c r="G4" s="30" t="str">
        <x:v>Justificación / fuente</x:v>
      </x:c>
      <x:c r="H4" s="183"/>
      <x:c r="I4" s="183"/>
      <x:c r="J4" s="183"/>
      <x:c r="K4" s="183"/>
      <x:c r="L4" s="183"/>
      <x:c r="M4" s="183"/>
      <x:c r="N4" s="183"/>
    </x:row>
    <x:row r="5">
      <x:c r="A5" s="44" t="str">
        <x:v>Usuarios registrados iniciales</x:v>
      </x:c>
      <x:c r="B5" s="189" t="n">
        <x:v>500</x:v>
      </x:c>
      <x:c r="C5" s="189" t="n">
        <x:v>2000</x:v>
      </x:c>
      <x:c r="D5" s="189" t="n">
        <x:v>5000</x:v>
      </x:c>
      <x:c r="E5" s="189" t="n">
        <x:v>2000</x:v>
      </x:c>
      <x:c r="F5" s="185" t="str">
        <x:v>usuarios</x:v>
      </x:c>
      <x:c r="G5" s="185" t="str">
        <x:v>Hipótesis editable</x:v>
      </x:c>
      <x:c r="H5" s="183"/>
      <x:c r="I5" s="183"/>
      <x:c r="J5" s="183"/>
      <x:c r="K5" s="183"/>
      <x:c r="L5" s="183"/>
      <x:c r="M5" s="183"/>
      <x:c r="N5" s="183"/>
    </x:row>
    <x:row r="6">
      <x:c r="A6" s="44" t="str">
        <x:v>Altas orgánicas mensuales</x:v>
      </x:c>
      <x:c r="B6" s="189" t="n">
        <x:v>40</x:v>
      </x:c>
      <x:c r="C6" s="189" t="n">
        <x:v>150</x:v>
      </x:c>
      <x:c r="D6" s="189" t="n">
        <x:v>350</x:v>
      </x:c>
      <x:c r="E6" s="189" t="n">
        <x:v>150</x:v>
      </x:c>
      <x:c r="F6" s="185" t="str">
        <x:v>usuarios/mes</x:v>
      </x:c>
      <x:c r="G6" s="185" t="str">
        <x:v>Hipótesis editable</x:v>
      </x:c>
      <x:c r="H6" s="183"/>
      <x:c r="I6" s="183"/>
      <x:c r="J6" s="183"/>
      <x:c r="K6" s="183"/>
      <x:c r="L6" s="183"/>
      <x:c r="M6" s="183"/>
      <x:c r="N6" s="183"/>
    </x:row>
    <x:row r="7">
      <x:c r="A7" s="44" t="str">
        <x:v>Presupuesto de marketing mensual</x:v>
      </x:c>
      <x:c r="B7" s="190" t="n">
        <x:v>600</x:v>
      </x:c>
      <x:c r="C7" s="190" t="n">
        <x:v>1000</x:v>
      </x:c>
      <x:c r="D7" s="190" t="n">
        <x:v>2500</x:v>
      </x:c>
      <x:c r="E7" s="190" t="n">
        <x:v>1000</x:v>
      </x:c>
      <x:c r="F7" s="185" t="str">
        <x:v>€/mes</x:v>
      </x:c>
      <x:c r="G7" s="185" t="str">
        <x:v>Incluye campañas y creadores</x:v>
      </x:c>
      <x:c r="H7" s="183"/>
      <x:c r="I7" s="183"/>
      <x:c r="J7" s="183"/>
      <x:c r="K7" s="183"/>
      <x:c r="L7" s="183"/>
      <x:c r="M7" s="183"/>
      <x:c r="N7" s="183"/>
    </x:row>
    <x:row r="8">
      <x:c r="A8" s="44" t="str">
        <x:v>Coste de adquisición por usuario (CAC)</x:v>
      </x:c>
      <x:c r="B8" s="190" t="n">
        <x:v>10</x:v>
      </x:c>
      <x:c r="C8" s="190" t="n">
        <x:v>6</x:v>
      </x:c>
      <x:c r="D8" s="190" t="n">
        <x:v>4</x:v>
      </x:c>
      <x:c r="E8" s="190" t="n">
        <x:v>6</x:v>
      </x:c>
      <x:c r="F8" s="185" t="str">
        <x:v>€/registro</x:v>
      </x:c>
      <x:c r="G8" s="185" t="str">
        <x:v>Hipótesis editable</x:v>
      </x:c>
      <x:c r="H8" s="183"/>
      <x:c r="I8" s="183"/>
      <x:c r="J8" s="183"/>
      <x:c r="K8" s="183"/>
      <x:c r="L8" s="183"/>
      <x:c r="M8" s="183"/>
      <x:c r="N8" s="183"/>
    </x:row>
    <x:row r="9">
      <x:c r="A9" s="44" t="str">
        <x:v>Churn mensual de registrados</x:v>
      </x:c>
      <x:c r="B9" s="191" t="n">
        <x:v>0.06</x:v>
      </x:c>
      <x:c r="C9" s="191" t="n">
        <x:v>0.035</x:v>
      </x:c>
      <x:c r="D9" s="191" t="n">
        <x:v>0.02</x:v>
      </x:c>
      <x:c r="E9" s="191" t="n">
        <x:v>0.035</x:v>
      </x:c>
      <x:c r="F9" s="185" t="str">
        <x:v>%</x:v>
      </x:c>
      <x:c r="G9" s="185" t="str">
        <x:v>Hipótesis editable</x:v>
      </x:c>
      <x:c r="H9" s="183"/>
      <x:c r="I9" s="183"/>
      <x:c r="J9" s="183"/>
      <x:c r="K9" s="183"/>
      <x:c r="L9" s="183"/>
      <x:c r="M9" s="183"/>
      <x:c r="N9" s="183"/>
    </x:row>
    <x:row r="10">
      <x:c r="A10" s="44" t="str">
        <x:v>Porcentaje de usuarios activos</x:v>
      </x:c>
      <x:c r="B10" s="191" t="n">
        <x:v>0.18</x:v>
      </x:c>
      <x:c r="C10" s="191" t="n">
        <x:v>0.3</x:v>
      </x:c>
      <x:c r="D10" s="191" t="n">
        <x:v>0.42</x:v>
      </x:c>
      <x:c r="E10" s="191" t="n">
        <x:v>0.3</x:v>
      </x:c>
      <x:c r="F10" s="185" t="str">
        <x:v>%</x:v>
      </x:c>
      <x:c r="G10" s="185" t="str">
        <x:v>Variable solicitada en la guía</x:v>
      </x:c>
      <x:c r="H10" s="183"/>
      <x:c r="I10" s="183"/>
      <x:c r="J10" s="183"/>
      <x:c r="K10" s="183"/>
      <x:c r="L10" s="183"/>
      <x:c r="M10" s="183"/>
      <x:c r="N10" s="183"/>
    </x:row>
    <x:row r="11">
      <x:c r="A11" s="44" t="str">
        <x:v>Partidas por usuario activo al mes</x:v>
      </x:c>
      <x:c r="B11" s="189" t="n">
        <x:v>10</x:v>
      </x:c>
      <x:c r="C11" s="189" t="n">
        <x:v>30</x:v>
      </x:c>
      <x:c r="D11" s="189" t="n">
        <x:v>50</x:v>
      </x:c>
      <x:c r="E11" s="189" t="n">
        <x:v>30</x:v>
      </x:c>
      <x:c r="F11" s="185" t="str">
        <x:v>partidas</x:v>
      </x:c>
      <x:c r="G11" s="185" t="str">
        <x:v>Variable solicitada en la guía</x:v>
      </x:c>
      <x:c r="H11" s="183"/>
      <x:c r="I11" s="183"/>
      <x:c r="J11" s="183"/>
      <x:c r="K11" s="183"/>
      <x:c r="L11" s="183"/>
      <x:c r="M11" s="183"/>
      <x:c r="N11" s="183"/>
    </x:row>
    <x:row r="12">
      <x:c r="A12" s="44" t="str">
        <x:v>Ingreso medio generado por partida</x:v>
      </x:c>
      <x:c r="B12" s="190" t="n">
        <x:v>0.02</x:v>
      </x:c>
      <x:c r="C12" s="190" t="n">
        <x:v>0.05</x:v>
      </x:c>
      <x:c r="D12" s="190" t="n">
        <x:v>0.075</x:v>
      </x:c>
      <x:c r="E12" s="190" t="n">
        <x:v>0.05</x:v>
      </x:c>
      <x:c r="F12" s="185" t="str">
        <x:v>€/partida</x:v>
      </x:c>
      <x:c r="G12" s="185" t="str">
        <x:v>Publicidad, patrocinio y compras virtuales</x:v>
      </x:c>
      <x:c r="H12" s="183"/>
      <x:c r="I12" s="183"/>
      <x:c r="J12" s="183"/>
      <x:c r="K12" s="183"/>
      <x:c r="L12" s="183"/>
      <x:c r="M12" s="183"/>
      <x:c r="N12" s="183"/>
    </x:row>
    <x:row r="13">
      <x:c r="A13" s="44" t="str">
        <x:v>Coste medio de premios por partida</x:v>
      </x:c>
      <x:c r="B13" s="190" t="n">
        <x:v>0.008</x:v>
      </x:c>
      <x:c r="C13" s="190" t="n">
        <x:v>0.01</x:v>
      </x:c>
      <x:c r="D13" s="190" t="n">
        <x:v>0.014</x:v>
      </x:c>
      <x:c r="E13" s="190" t="n">
        <x:v>0.01</x:v>
      </x:c>
      <x:c r="F13" s="185" t="str">
        <x:v>€/partida</x:v>
      </x:c>
      <x:c r="G13" s="185" t="str">
        <x:v>Premios/promociones no monetarias</x:v>
      </x:c>
      <x:c r="H13" s="183"/>
      <x:c r="I13" s="183"/>
      <x:c r="J13" s="183"/>
      <x:c r="K13" s="183"/>
      <x:c r="L13" s="183"/>
      <x:c r="M13" s="183"/>
      <x:c r="N13" s="183"/>
    </x:row>
    <x:row r="14">
      <x:c r="A14" s="44" t="str">
        <x:v>Conversión a premium</x:v>
      </x:c>
      <x:c r="B14" s="191" t="n">
        <x:v>0.01</x:v>
      </x:c>
      <x:c r="C14" s="191" t="n">
        <x:v>0.04</x:v>
      </x:c>
      <x:c r="D14" s="191" t="n">
        <x:v>0.07</x:v>
      </x:c>
      <x:c r="E14" s="191" t="n">
        <x:v>0.04</x:v>
      </x:c>
      <x:c r="F14" s="185" t="str">
        <x:v>% activos</x:v>
      </x:c>
      <x:c r="G14" s="185" t="str">
        <x:v>Hipótesis editable</x:v>
      </x:c>
      <x:c r="H14" s="183"/>
      <x:c r="I14" s="183"/>
      <x:c r="J14" s="183"/>
      <x:c r="K14" s="183"/>
      <x:c r="L14" s="183"/>
      <x:c r="M14" s="183"/>
      <x:c r="N14" s="183"/>
    </x:row>
    <x:row r="15">
      <x:c r="A15" s="44" t="str">
        <x:v>Precio premium mensual</x:v>
      </x:c>
      <x:c r="B15" s="190" t="n">
        <x:v>4.99</x:v>
      </x:c>
      <x:c r="C15" s="190" t="n">
        <x:v>5.99</x:v>
      </x:c>
      <x:c r="D15" s="190" t="n">
        <x:v>6.99</x:v>
      </x:c>
      <x:c r="E15" s="190" t="n">
        <x:v>5.99</x:v>
      </x:c>
      <x:c r="F15" s="185" t="str">
        <x:v>€/mes</x:v>
      </x:c>
      <x:c r="G15" s="185" t="str">
        <x:v>Hipótesis editable</x:v>
      </x:c>
      <x:c r="H15" s="183"/>
      <x:c r="I15" s="183"/>
      <x:c r="J15" s="183"/>
      <x:c r="K15" s="183"/>
      <x:c r="L15" s="183"/>
      <x:c r="M15" s="183"/>
      <x:c r="N15" s="183"/>
    </x:row>
    <x:row r="16">
      <x:c r="A16" s="44" t="str">
        <x:v>Ingreso de afiliación por activo al mes</x:v>
      </x:c>
      <x:c r="B16" s="190" t="n">
        <x:v>0.05</x:v>
      </x:c>
      <x:c r="C16" s="190" t="n">
        <x:v>0.2</x:v>
      </x:c>
      <x:c r="D16" s="190" t="n">
        <x:v>0.35</x:v>
      </x:c>
      <x:c r="E16" s="190" t="n">
        <x:v>0.2</x:v>
      </x:c>
      <x:c r="F16" s="185" t="str">
        <x:v>€/activo/mes</x:v>
      </x:c>
      <x:c r="G16" s="185" t="str">
        <x:v>Hipótesis editable</x:v>
      </x:c>
      <x:c r="H16" s="183"/>
      <x:c r="I16" s="183"/>
      <x:c r="J16" s="183"/>
      <x:c r="K16" s="183"/>
      <x:c r="L16" s="183"/>
      <x:c r="M16" s="183"/>
      <x:c r="N16" s="183"/>
    </x:row>
    <x:row r="17">
      <x:c r="A17" s="44" t="str">
        <x:v>Activar cajas de pago</x:v>
      </x:c>
      <x:c r="B17" s="191" t="n">
        <x:v>0</x:v>
      </x:c>
      <x:c r="C17" s="191" t="n">
        <x:v>0</x:v>
      </x:c>
      <x:c r="D17" s="191" t="n">
        <x:v>0</x:v>
      </x:c>
      <x:c r="E17" s="191" t="n">
        <x:v>0</x:v>
      </x:c>
      <x:c r="F17" s="185" t="str">
        <x:v>0 = no / 1 = sí</x:v>
      </x:c>
      <x:c r="G17" s="185" t="str">
        <x:v>Desactivado hasta revisión legal</x:v>
      </x:c>
      <x:c r="H17" s="183"/>
      <x:c r="I17" s="183"/>
      <x:c r="J17" s="183"/>
      <x:c r="K17" s="183"/>
      <x:c r="L17" s="183"/>
      <x:c r="M17" s="183"/>
      <x:c r="N17" s="183"/>
    </x:row>
    <x:row r="18">
      <x:c r="A18" s="44" t="str">
        <x:v>Compradores de cajas</x:v>
      </x:c>
      <x:c r="B18" s="191" t="n">
        <x:v>0.003</x:v>
      </x:c>
      <x:c r="C18" s="191" t="n">
        <x:v>0.01</x:v>
      </x:c>
      <x:c r="D18" s="191" t="n">
        <x:v>0.025</x:v>
      </x:c>
      <x:c r="E18" s="191" t="n">
        <x:v>0.01</x:v>
      </x:c>
      <x:c r="F18" s="185" t="str">
        <x:v>% activos</x:v>
      </x:c>
      <x:c r="G18" s="185" t="str">
        <x:v>Solo se usa cuando la fila anterior vale 1</x:v>
      </x:c>
      <x:c r="H18" s="183"/>
      <x:c r="I18" s="183"/>
      <x:c r="J18" s="183"/>
      <x:c r="K18" s="183"/>
      <x:c r="L18" s="183"/>
      <x:c r="M18" s="183"/>
      <x:c r="N18" s="183"/>
    </x:row>
    <x:row r="19">
      <x:c r="A19" s="44" t="str">
        <x:v>Aperturas por comprador al mes</x:v>
      </x:c>
      <x:c r="B19" s="189" t="n">
        <x:v>1</x:v>
      </x:c>
      <x:c r="C19" s="189" t="n">
        <x:v>1.2</x:v>
      </x:c>
      <x:c r="D19" s="189" t="n">
        <x:v>1.8</x:v>
      </x:c>
      <x:c r="E19" s="189" t="n">
        <x:v>1.2</x:v>
      </x:c>
      <x:c r="F19" s="185" t="str">
        <x:v>aperturas</x:v>
      </x:c>
      <x:c r="G19" s="185" t="str">
        <x:v>Hipótesis editable</x:v>
      </x:c>
      <x:c r="H19" s="183"/>
      <x:c r="I19" s="183"/>
      <x:c r="J19" s="183"/>
      <x:c r="K19" s="183"/>
      <x:c r="L19" s="183"/>
      <x:c r="M19" s="183"/>
      <x:c r="N19" s="183"/>
    </x:row>
    <x:row r="20">
      <x:c r="A20" s="44" t="str">
        <x:v>Precio medio de caja</x:v>
      </x:c>
      <x:c r="B20" s="252" t="n">
        <x:v>7.99</x:v>
      </x:c>
      <x:c r="C20" s="252" t="n">
        <x:v>12.99</x:v>
      </x:c>
      <x:c r="D20" s="252" t="n">
        <x:v>18.99</x:v>
      </x:c>
      <x:c r="E20" s="252" t="n">
        <x:v>12.99</x:v>
      </x:c>
      <x:c r="F20" s="185" t="str">
        <x:v>€</x:v>
      </x:c>
      <x:c r="G20" s="185" t="str">
        <x:v>Media ponderada orientativa según precios 2,99 €, 9,99 €, 24,99 € y 49,99 €</x:v>
      </x:c>
      <x:c r="H20" s="183"/>
      <x:c r="I20" s="183"/>
      <x:c r="J20" s="183"/>
      <x:c r="K20" s="183"/>
      <x:c r="L20" s="183"/>
      <x:c r="M20" s="183"/>
      <x:c r="N20" s="183"/>
    </x:row>
    <x:row r="21">
      <x:c r="A21" s="44" t="str">
        <x:v>Coste de premios de cajas</x:v>
      </x:c>
      <x:c r="B21" s="306" t="n">
        <x:v>0.15</x:v>
      </x:c>
      <x:c r="C21" s="306" t="n">
        <x:v>0.1</x:v>
      </x:c>
      <x:c r="D21" s="306" t="n">
        <x:v>0.08</x:v>
      </x:c>
      <x:c r="E21" s="306" t="n">
        <x:v>0.1</x:v>
      </x:c>
      <x:c r="F21" s="185" t="str">
        <x:v>% ingresos cajas</x:v>
      </x:c>
      <x:c r="G21" s="185" t="str">
        <x:v>Coste monetario estimado de arte, soporte y operación; el valor virtual no es un coste en efectivo</x:v>
      </x:c>
      <x:c r="H21" s="183"/>
      <x:c r="I21" s="183"/>
      <x:c r="J21" s="183"/>
      <x:c r="K21" s="183"/>
      <x:c r="L21" s="183"/>
      <x:c r="M21" s="183"/>
      <x:c r="N21" s="183"/>
    </x:row>
    <x:row r="22">
      <x:c r="A22" s="44" t="str">
        <x:v>Comisión de pagos</x:v>
      </x:c>
      <x:c r="B22" s="190" t="n">
        <x:v>0.035</x:v>
      </x:c>
      <x:c r="C22" s="190" t="n">
        <x:v>0.03</x:v>
      </x:c>
      <x:c r="D22" s="190" t="n">
        <x:v>0.027</x:v>
      </x:c>
      <x:c r="E22" s="190" t="n">
        <x:v>0.03</x:v>
      </x:c>
      <x:c r="F22" s="185" t="str">
        <x:v>% cobros</x:v>
      </x:c>
      <x:c r="G22" s="185" t="str">
        <x:v>Hipótesis editable</x:v>
      </x:c>
      <x:c r="H22" s="183"/>
      <x:c r="I22" s="183"/>
      <x:c r="J22" s="183"/>
      <x:c r="K22" s="183"/>
      <x:c r="L22" s="183"/>
      <x:c r="M22" s="183"/>
      <x:c r="N22" s="183"/>
    </x:row>
    <x:row r="23">
      <x:c r="A23" s="44" t="str">
        <x:v>Servidor base mensual</x:v>
      </x:c>
      <x:c r="B23" s="307" t="n">
        <x:v>180</x:v>
      </x:c>
      <x:c r="C23" s="307" t="n">
        <x:v>260</x:v>
      </x:c>
      <x:c r="D23" s="307" t="n">
        <x:v>450</x:v>
      </x:c>
      <x:c r="E23" s="307" t="n">
        <x:v>260</x:v>
      </x:c>
      <x:c r="F23" s="185" t="str">
        <x:v>€/mes</x:v>
      </x:c>
      <x:c r="G23" s="185" t="str">
        <x:v>MySQL, Redis, colas, scheduler, backups, HTTPS, monitorización y tesorería demo</x:v>
      </x:c>
      <x:c r="H23" s="183"/>
      <x:c r="I23" s="183"/>
      <x:c r="J23" s="183"/>
      <x:c r="K23" s="183"/>
      <x:c r="L23" s="183"/>
      <x:c r="M23" s="183"/>
      <x:c r="N23" s="183"/>
    </x:row>
    <x:row r="24">
      <x:c r="A24" s="44" t="str">
        <x:v>Infraestructura variable por activo</x:v>
      </x:c>
      <x:c r="B24" s="308" t="n">
        <x:v>0.055</x:v>
      </x:c>
      <x:c r="C24" s="308" t="n">
        <x:v>0.038</x:v>
      </x:c>
      <x:c r="D24" s="308" t="n">
        <x:v>0.03</x:v>
      </x:c>
      <x:c r="E24" s="308" t="n">
        <x:v>0.038</x:v>
      </x:c>
      <x:c r="F24" s="185" t="str">
        <x:v>€/activo/mes</x:v>
      </x:c>
      <x:c r="G24" s="185" t="str">
        <x:v>215 recursos visuales, tráfico, CDN, almacenamiento y registros económicos</x:v>
      </x:c>
      <x:c r="H24" s="183"/>
      <x:c r="I24" s="183"/>
      <x:c r="J24" s="183"/>
      <x:c r="K24" s="183"/>
      <x:c r="L24" s="183"/>
      <x:c r="M24" s="183"/>
      <x:c r="N24" s="183"/>
    </x:row>
    <x:row r="25">
      <x:c r="A25" s="44" t="str">
        <x:v>Desarrollo y mantenimiento mensual</x:v>
      </x:c>
      <x:c r="B25" s="307" t="n">
        <x:v>900</x:v>
      </x:c>
      <x:c r="C25" s="307" t="n">
        <x:v>1200</x:v>
      </x:c>
      <x:c r="D25" s="307" t="n">
        <x:v>2000</x:v>
      </x:c>
      <x:c r="E25" s="307" t="n">
        <x:v>1200</x:v>
      </x:c>
      <x:c r="F25" s="185" t="str">
        <x:v>€/mes</x:v>
      </x:c>
      <x:c r="G25" s="185" t="str">
        <x:v>Mantenimiento de 21 juegos, ledger, retiradas, simulación y controles de seguridad</x:v>
      </x:c>
      <x:c r="H25" s="183"/>
      <x:c r="I25" s="183"/>
      <x:c r="J25" s="183"/>
      <x:c r="K25" s="183"/>
      <x:c r="L25" s="183"/>
      <x:c r="M25" s="183"/>
      <x:c r="N25" s="183"/>
    </x:row>
    <x:row r="26">
      <x:c r="A26" s="44" t="str">
        <x:v>Software y monitorización mensual</x:v>
      </x:c>
      <x:c r="B26" s="307" t="n">
        <x:v>130</x:v>
      </x:c>
      <x:c r="C26" s="307" t="n">
        <x:v>220</x:v>
      </x:c>
      <x:c r="D26" s="307" t="n">
        <x:v>380</x:v>
      </x:c>
      <x:c r="E26" s="307" t="n">
        <x:v>220</x:v>
      </x:c>
      <x:c r="F26" s="185" t="str">
        <x:v>€/mes</x:v>
      </x:c>
      <x:c r="G26" s="185" t="str">
        <x:v>Correo, logs, alertas, Playwright, backups, seguridad y observabilidad</x:v>
      </x:c>
      <x:c r="H26" s="183"/>
      <x:c r="I26" s="183"/>
      <x:c r="J26" s="183"/>
      <x:c r="K26" s="183"/>
      <x:c r="L26" s="183"/>
      <x:c r="M26" s="183"/>
      <x:c r="N26" s="183"/>
    </x:row>
    <x:row r="27">
      <x:c r="A27" s="44" t="str">
        <x:v>Soporte y administración fijo mensual</x:v>
      </x:c>
      <x:c r="B27" s="307" t="n">
        <x:v>220</x:v>
      </x:c>
      <x:c r="C27" s="307" t="n">
        <x:v>350</x:v>
      </x:c>
      <x:c r="D27" s="307" t="n">
        <x:v>750</x:v>
      </x:c>
      <x:c r="E27" s="307" t="n">
        <x:v>350</x:v>
      </x:c>
      <x:c r="F27" s="185" t="str">
        <x:v>€/mes</x:v>
      </x:c>
      <x:c r="G27" s="185" t="str">
        <x:v>Revisión de retiradas demo, incidencias, moderación y administración</x:v>
      </x:c>
      <x:c r="H27" s="183"/>
      <x:c r="I27" s="183"/>
      <x:c r="J27" s="183"/>
      <x:c r="K27" s="183"/>
      <x:c r="L27" s="183"/>
      <x:c r="M27" s="183"/>
      <x:c r="N27" s="183"/>
    </x:row>
    <x:row r="28">
      <x:c r="A28" s="44" t="str">
        <x:v>Soporte variable por activo</x:v>
      </x:c>
      <x:c r="B28" s="308" t="n">
        <x:v>0.03</x:v>
      </x:c>
      <x:c r="C28" s="308" t="n">
        <x:v>0.018</x:v>
      </x:c>
      <x:c r="D28" s="308" t="n">
        <x:v>0.015</x:v>
      </x:c>
      <x:c r="E28" s="308" t="n">
        <x:v>0.018</x:v>
      </x:c>
      <x:c r="F28" s="185" t="str">
        <x:v>€/activo/mes</x:v>
      </x:c>
      <x:c r="G28" s="185" t="str">
        <x:v>Mayor actividad económica ficticia y soporte por usuario activo</x:v>
      </x:c>
      <x:c r="H28" s="183"/>
      <x:c r="I28" s="183"/>
      <x:c r="J28" s="183"/>
      <x:c r="K28" s="183"/>
      <x:c r="L28" s="183"/>
      <x:c r="M28" s="183"/>
      <x:c r="N28" s="183"/>
    </x:row>
    <x:row r="29">
      <x:c r="A29" s="44" t="str">
        <x:v>Dominio anual</x:v>
      </x:c>
      <x:c r="B29" s="190" t="n">
        <x:v>20</x:v>
      </x:c>
      <x:c r="C29" s="190" t="n">
        <x:v>20</x:v>
      </x:c>
      <x:c r="D29" s="190" t="n">
        <x:v>30</x:v>
      </x:c>
      <x:c r="E29" s="190" t="n">
        <x:v>20</x:v>
      </x:c>
      <x:c r="F29" s="185" t="str">
        <x:v>€/año</x:v>
      </x:c>
      <x:c r="G29" s="185" t="str">
        <x:v>Variable solicitada en la guía</x:v>
      </x:c>
      <x:c r="H29" s="183"/>
      <x:c r="I29" s="183"/>
      <x:c r="J29" s="183"/>
      <x:c r="K29" s="183"/>
      <x:c r="L29" s="183"/>
      <x:c r="M29" s="183"/>
      <x:c r="N29" s="183"/>
    </x:row>
    <x:row r="30">
      <x:c r="A30" s="44" t="str">
        <x:v>Legal y cumplimiento anual</x:v>
      </x:c>
      <x:c r="B30" s="307" t="n">
        <x:v>4500</x:v>
      </x:c>
      <x:c r="C30" s="307" t="n">
        <x:v>7000</x:v>
      </x:c>
      <x:c r="D30" s="307" t="n">
        <x:v>14000</x:v>
      </x:c>
      <x:c r="E30" s="307" t="n">
        <x:v>7000</x:v>
      </x:c>
      <x:c r="F30" s="185" t="str">
        <x:v>€/año</x:v>
      </x:c>
      <x:c r="G30" s="185" t="str">
        <x:v>Privacidad, condiciones, marketing, edad y revisión del alcance del producto</x:v>
      </x:c>
      <x:c r="H30" s="183"/>
      <x:c r="I30" s="183"/>
      <x:c r="J30" s="183"/>
      <x:c r="K30" s="183"/>
      <x:c r="L30" s="183"/>
      <x:c r="M30" s="183"/>
      <x:c r="N30" s="183"/>
    </x:row>
    <x:row r="31">
      <x:c r="A31" s="44" t="str">
        <x:v>Contabilidad y seguros anual</x:v>
      </x:c>
      <x:c r="B31" s="190" t="n">
        <x:v>1200</x:v>
      </x:c>
      <x:c r="C31" s="190" t="n">
        <x:v>1800</x:v>
      </x:c>
      <x:c r="D31" s="190" t="n">
        <x:v>3000</x:v>
      </x:c>
      <x:c r="E31" s="190" t="n">
        <x:v>1800</x:v>
      </x:c>
      <x:c r="F31" s="185" t="str">
        <x:v>€/año</x:v>
      </x:c>
      <x:c r="G31" s="185" t="str">
        <x:v>Hipótesis editable</x:v>
      </x:c>
      <x:c r="H31" s="183"/>
      <x:c r="I31" s="183"/>
      <x:c r="J31" s="183"/>
      <x:c r="K31" s="183"/>
      <x:c r="L31" s="183"/>
      <x:c r="M31" s="183"/>
      <x:c r="N31" s="183"/>
    </x:row>
    <x:row r="32">
      <x:c r="A32" s="44" t="str">
        <x:v>Otros costes fijos mensuales</x:v>
      </x:c>
      <x:c r="B32" s="307" t="n">
        <x:v>120</x:v>
      </x:c>
      <x:c r="C32" s="307" t="n">
        <x:v>220</x:v>
      </x:c>
      <x:c r="D32" s="307" t="n">
        <x:v>450</x:v>
      </x:c>
      <x:c r="E32" s="307" t="n">
        <x:v>220</x:v>
      </x:c>
      <x:c r="F32" s="185" t="str">
        <x:v>€/mes</x:v>
      </x:c>
      <x:c r="G32" s="185" t="str">
        <x:v>Reserva para herramientas, incidencias y costes administrativos no previstos</x:v>
      </x:c>
      <x:c r="H32" s="183"/>
      <x:c r="I32" s="183"/>
      <x:c r="J32" s="183"/>
      <x:c r="K32" s="183"/>
      <x:c r="L32" s="183"/>
      <x:c r="M32" s="183"/>
      <x:c r="N32" s="183"/>
    </x:row>
    <x:row r="33">
      <x:c r="A33" s="44" t="str">
        <x:v>Otros costes variables</x:v>
      </x:c>
      <x:c r="B33" s="191" t="n">
        <x:v>0.02</x:v>
      </x:c>
      <x:c r="C33" s="191" t="n">
        <x:v>0.02</x:v>
      </x:c>
      <x:c r="D33" s="191" t="n">
        <x:v>0.025</x:v>
      </x:c>
      <x:c r="E33" s="191" t="n">
        <x:v>0.02</x:v>
      </x:c>
      <x:c r="F33" s="185" t="str">
        <x:v>% ingresos</x:v>
      </x:c>
      <x:c r="G33" s="185" t="str">
        <x:v>Fraude, devoluciones, herramientas variables</x:v>
      </x:c>
      <x:c r="H33" s="183"/>
      <x:c r="I33" s="183"/>
      <x:c r="J33" s="183"/>
      <x:c r="K33" s="183"/>
      <x:c r="L33" s="183"/>
      <x:c r="M33" s="183"/>
      <x:c r="N33" s="183"/>
    </x:row>
    <x:row r="34">
      <x:c r="A34" s="44" t="str">
        <x:v>Inversión inicial de desarrollo</x:v>
      </x:c>
      <x:c r="B34" s="307" t="n">
        <x:v>28000</x:v>
      </x:c>
      <x:c r="C34" s="307" t="n">
        <x:v>42000</x:v>
      </x:c>
      <x:c r="D34" s="307" t="n">
        <x:v>68000</x:v>
      </x:c>
      <x:c r="E34" s="307" t="n">
        <x:v>42000</x:v>
      </x:c>
      <x:c r="F34" s="185" t="str">
        <x:v>€</x:v>
      </x:c>
      <x:c r="G34" s="185" t="str">
        <x:v>Coste de reposición del desarrollo, sistema visual, ledger, tesorería, pruebas y documentación</x:v>
      </x:c>
      <x:c r="H34" s="183"/>
      <x:c r="I34" s="183"/>
      <x:c r="J34" s="183"/>
      <x:c r="K34" s="183"/>
      <x:c r="L34" s="183"/>
      <x:c r="M34" s="183"/>
      <x:c r="N34" s="183"/>
    </x:row>
    <x:row r="35">
      <x:c r="A35" s="44" t="str">
        <x:v>Lanzamiento y branding inicial</x:v>
      </x:c>
      <x:c r="B35" s="307" t="n">
        <x:v>2200</x:v>
      </x:c>
      <x:c r="C35" s="307" t="n">
        <x:v>4500</x:v>
      </x:c>
      <x:c r="D35" s="307" t="n">
        <x:v>9000</x:v>
      </x:c>
      <x:c r="E35" s="307" t="n">
        <x:v>4500</x:v>
      </x:c>
      <x:c r="F35" s="185" t="str">
        <x:v>€</x:v>
      </x:c>
      <x:c r="G35" s="185" t="str">
        <x:v>Creatividades, presentación, pruebas con usuarios y lanzamiento de la demo</x:v>
      </x:c>
      <x:c r="H35" s="183"/>
      <x:c r="I35" s="183"/>
      <x:c r="J35" s="183"/>
      <x:c r="K35" s="183"/>
      <x:c r="L35" s="183"/>
      <x:c r="M35" s="183"/>
      <x:c r="N35" s="183"/>
    </x:row>
    <x:row r="36">
      <x:c r="A36" s="44" t="str">
        <x:v>Beneficio anual objetivo</x:v>
      </x:c>
      <x:c r="B36" s="190" t="n">
        <x:v>15000</x:v>
      </x:c>
      <x:c r="C36" s="190" t="n">
        <x:v>30000</x:v>
      </x:c>
      <x:c r="D36" s="190" t="n">
        <x:v>60000</x:v>
      </x:c>
      <x:c r="E36" s="190" t="n">
        <x:v>30000</x:v>
      </x:c>
      <x:c r="F36" s="185" t="str">
        <x:v>€/año</x:v>
      </x:c>
      <x:c r="G36" s="185" t="str">
        <x:v>Variable solicitada en la guía</x:v>
      </x:c>
      <x:c r="H36" s="183"/>
      <x:c r="I36" s="183"/>
      <x:c r="J36" s="183"/>
      <x:c r="K36" s="183"/>
      <x:c r="L36" s="183"/>
      <x:c r="M36" s="183"/>
      <x:c r="N36" s="183"/>
    </x:row>
    <x:row r="37">
      <x:c r="A37" s="44" t="str">
        <x:v>Reserva de caja deseada</x:v>
      </x:c>
      <x:c r="B37" s="189" t="n">
        <x:v>3</x:v>
      </x:c>
      <x:c r="C37" s="189" t="n">
        <x:v>4</x:v>
      </x:c>
      <x:c r="D37" s="189" t="n">
        <x:v>6</x:v>
      </x:c>
      <x:c r="E37" s="189" t="n">
        <x:v>4</x:v>
      </x:c>
      <x:c r="F37" s="185" t="str">
        <x:v>meses de costes fijos</x:v>
      </x:c>
      <x:c r="G37" s="185" t="str">
        <x:v>Colchón de tesorería</x:v>
      </x:c>
      <x:c r="H37" s="183"/>
      <x:c r="I37" s="183"/>
      <x:c r="J37" s="183"/>
      <x:c r="K37" s="183"/>
      <x:c r="L37" s="183"/>
      <x:c r="M37" s="183"/>
      <x:c r="N37" s="183"/>
    </x:row>
    <x:row r="38">
      <x:c r="A38" s="44" t="str">
        <x:v>Tipo fiscal estimado</x:v>
      </x:c>
      <x:c r="B38" s="191" t="n">
        <x:v>0</x:v>
      </x:c>
      <x:c r="C38" s="191" t="n">
        <x:v>0</x:v>
      </x:c>
      <x:c r="D38" s="191" t="n">
        <x:v>0</x:v>
      </x:c>
      <x:c r="E38" s="191" t="n">
        <x:v>0</x:v>
      </x:c>
      <x:c r="F38" s="185" t="str">
        <x:v>% beneficio</x:v>
      </x:c>
      <x:c r="G38" s="185" t="str">
        <x:v>Completar con asesor fiscal; 0% por defecto</x:v>
      </x:c>
      <x:c r="H38" s="183"/>
      <x:c r="I38" s="183"/>
      <x:c r="J38" s="183"/>
      <x:c r="K38" s="183"/>
      <x:c r="L38" s="183"/>
      <x:c r="M38" s="183"/>
      <x:c r="N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13" t="str">
        <x:v>Los depósitos, retiradas y apuestas demo no se contabilizan como ingresos reales en el modelo financiero. La rentabilidad empresarial procede de premium, publicidad, afiliación, patrocinios y futuros servicios B2B.</x:v>
      </x:c>
      <x:c r="B40" s="13"/>
      <x:c r="C40" s="13"/>
      <x:c r="D40" s="13"/>
      <x:c r="E40" s="13"/>
      <x:c r="F40" s="13"/>
      <x:c r="G40" s="13"/>
      <x:c r="H40" s="183"/>
      <x:c r="I40" s="183"/>
      <x:c r="J40" s="183"/>
      <x:c r="K40" s="183"/>
      <x:c r="L40" s="183"/>
      <x:c r="M40" s="183"/>
      <x:c r="N40" s="183"/>
    </x:row>
    <x:row r="41">
      <x:c r="A41" s="13"/>
      <x:c r="B41" s="13"/>
      <x:c r="C41" s="13"/>
      <x:c r="D41" s="13"/>
      <x:c r="E41" s="13"/>
      <x:c r="F41" s="13"/>
      <x:c r="G41" s="13"/>
      <x:c r="H41" s="183"/>
      <x:c r="I41" s="183"/>
      <x:c r="J41" s="183"/>
      <x:c r="K41" s="183"/>
      <x:c r="L41" s="183"/>
      <x:c r="M41" s="183"/>
      <x:c r="N41" s="183"/>
    </x:row>
    <x:row r="42">
      <x:c r="A42" s="13"/>
      <x:c r="B42" s="13"/>
      <x:c r="C42" s="13"/>
      <x:c r="D42" s="13"/>
      <x:c r="E42" s="13"/>
      <x:c r="F42" s="13"/>
      <x:c r="G42" s="13"/>
      <x:c r="H42" s="183"/>
      <x:c r="I42" s="183"/>
      <x:c r="J42" s="183"/>
      <x:c r="K42" s="183"/>
      <x:c r="L42" s="183"/>
      <x:c r="M42" s="183"/>
      <x:c r="N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G1"/>
    <x:mergeCell ref="A2:G2"/>
    <x:mergeCell ref="A40:G42"/>
  </x:mergeCells>
  <x:dataValidations count="1">
    <x:dataValidation type="list" sqref="B17:E17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16" hidden="0" customWidth="1"/>
    <x:col min="5" max="5" width="46" hidden="0" customWidth="1"/>
  </x:cols>
  <x:sheetData>
    <x:row r="1" ht="32" customHeight="1">
      <x:c r="A1" s="5" t="str">
        <x:v>Supuestos activos del modelo</x:v>
      </x:c>
      <x:c r="B1" s="5"/>
      <x:c r="C1" s="5"/>
      <x:c r="D1" s="5"/>
      <x:c r="E1" s="5"/>
      <x:c r="F1" s="183"/>
      <x:c r="G1" s="183"/>
      <x:c r="H1" s="183"/>
      <x:c r="I1" s="183"/>
      <x:c r="J1" s="183"/>
      <x:c r="K1" s="183"/>
      <x:c r="L1" s="183"/>
      <x:c r="M1" s="183"/>
      <x:c r="N1" s="183"/>
    </x:row>
    <x:row r="2" ht="34" customHeight="1">
      <x:c r="A2" s="13" t="str">
        <x:v>Esta hoja enlaza el escenario seleccionado en 06_Dashboard con el resto del archivo.</x:v>
      </x:c>
      <x:c r="B2" s="13"/>
      <x:c r="C2" s="13"/>
      <x:c r="D2" s="13"/>
      <x:c r="E2" s="13"/>
      <x:c r="F2" s="183"/>
      <x:c r="G2" s="183"/>
      <x:c r="H2" s="18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30" t="str">
        <x:v>Escenario seleccionado</x:v>
      </x:c>
      <x:c r="B4" s="30" t="str">
        <x:v>Valor</x:v>
      </x:c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</x:row>
    <x:row r="5">
      <x:c r="A5" s="183" t="str">
        <x:v>Escenario</x:v>
      </x:c>
      <x:c r="B5" s="197" t="str">
        <x:f>'06_Dashboard'!$B$3</x:f>
        <x:v>Realista</x:v>
      </x:c>
      <x:c r="C5" s="183"/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</x:row>
    <x:row r="6">
      <x:c r="A6" s="183"/>
      <x:c r="B6" s="183"/>
      <x:c r="C6" s="183"/>
      <x:c r="D6" s="183"/>
      <x:c r="E6" s="183"/>
      <x:c r="F6" s="183"/>
      <x:c r="G6" s="183"/>
      <x:c r="H6" s="183"/>
      <x:c r="I6" s="183"/>
      <x:c r="J6" s="183"/>
      <x:c r="K6" s="183"/>
      <x:c r="L6" s="183"/>
      <x:c r="M6" s="183"/>
      <x:c r="N6" s="183"/>
    </x:row>
    <x:row r="7">
      <x:c r="A7" s="30" t="str">
        <x:v>Variable</x:v>
      </x:c>
      <x:c r="B7" s="30" t="str">
        <x:v>Valor activo</x:v>
      </x:c>
      <x:c r="C7" s="30" t="str">
        <x:v>Unidad</x:v>
      </x:c>
      <x:c r="D7" s="30" t="str">
        <x:v>Origen</x:v>
      </x:c>
      <x:c r="E7" s="30" t="str">
        <x:v>Uso principal</x:v>
      </x:c>
      <x:c r="F7" s="183"/>
      <x:c r="G7" s="183"/>
      <x:c r="H7" s="183"/>
      <x:c r="I7" s="183"/>
      <x:c r="J7" s="183"/>
      <x:c r="K7" s="183"/>
      <x:c r="L7" s="183"/>
      <x:c r="M7" s="183"/>
      <x:c r="N7" s="183"/>
    </x:row>
    <x:row r="8">
      <x:c r="A8" s="44" t="str">
        <x:v>Usuarios registrados iniciales</x:v>
      </x:c>
      <x:c r="B8" s="198" t="n">
        <x:f>INDEX('02_Escenarios'!$B$5:$E$5,1,MATCH($B$5,'02_Escenarios'!$B$4:$E$4,0))</x:f>
        <x:v>2000</x:v>
      </x:c>
      <x:c r="C8" s="185" t="str">
        <x:v>usuarios</x:v>
      </x:c>
      <x:c r="D8" s="185" t="str">
        <x:v>02_Escenarios</x:v>
      </x:c>
      <x:c r="E8" s="185" t="str">
        <x:v>Hipótesis editable</x:v>
      </x:c>
      <x:c r="F8" s="183"/>
      <x:c r="G8" s="183"/>
      <x:c r="H8" s="183"/>
      <x:c r="I8" s="183"/>
      <x:c r="J8" s="183"/>
      <x:c r="K8" s="183"/>
      <x:c r="L8" s="183"/>
      <x:c r="M8" s="183"/>
      <x:c r="N8" s="183"/>
    </x:row>
    <x:row r="9">
      <x:c r="A9" s="44" t="str">
        <x:v>Altas orgánicas mensuales</x:v>
      </x:c>
      <x:c r="B9" s="198" t="n">
        <x:f>INDEX('02_Escenarios'!$B$6:$E$6,1,MATCH($B$5,'02_Escenarios'!$B$4:$E$4,0))</x:f>
        <x:v>150</x:v>
      </x:c>
      <x:c r="C9" s="185" t="str">
        <x:v>usuarios/mes</x:v>
      </x:c>
      <x:c r="D9" s="185" t="str">
        <x:v>02_Escenarios</x:v>
      </x:c>
      <x:c r="E9" s="185" t="str">
        <x:v>Hipótesis editable</x:v>
      </x:c>
      <x:c r="F9" s="183"/>
      <x:c r="G9" s="183"/>
      <x:c r="H9" s="183"/>
      <x:c r="I9" s="183"/>
      <x:c r="J9" s="183"/>
      <x:c r="K9" s="183"/>
      <x:c r="L9" s="183"/>
      <x:c r="M9" s="183"/>
      <x:c r="N9" s="183"/>
    </x:row>
    <x:row r="10">
      <x:c r="A10" s="44" t="str">
        <x:v>Presupuesto de marketing mensual</x:v>
      </x:c>
      <x:c r="B10" s="199" t="n">
        <x:f>INDEX('02_Escenarios'!$B$7:$E$7,1,MATCH($B$5,'02_Escenarios'!$B$4:$E$4,0))</x:f>
        <x:v>1000</x:v>
      </x:c>
      <x:c r="C10" s="185" t="str">
        <x:v>€/mes</x:v>
      </x:c>
      <x:c r="D10" s="185" t="str">
        <x:v>02_Escenarios</x:v>
      </x:c>
      <x:c r="E10" s="185" t="str">
        <x:v>Incluye campañas y creadores</x:v>
      </x:c>
      <x:c r="F10" s="183"/>
      <x:c r="G10" s="183"/>
      <x:c r="H10" s="183"/>
      <x:c r="I10" s="183"/>
      <x:c r="J10" s="183"/>
      <x:c r="K10" s="183"/>
      <x:c r="L10" s="183"/>
      <x:c r="M10" s="183"/>
      <x:c r="N10" s="183"/>
    </x:row>
    <x:row r="11">
      <x:c r="A11" s="44" t="str">
        <x:v>Coste de adquisición por usuario (CAC)</x:v>
      </x:c>
      <x:c r="B11" s="199" t="n">
        <x:f>INDEX('02_Escenarios'!$B$8:$E$8,1,MATCH($B$5,'02_Escenarios'!$B$4:$E$4,0))</x:f>
        <x:v>6</x:v>
      </x:c>
      <x:c r="C11" s="185" t="str">
        <x:v>€/registro</x:v>
      </x:c>
      <x:c r="D11" s="185" t="str">
        <x:v>02_Escenarios</x:v>
      </x:c>
      <x:c r="E11" s="185" t="str">
        <x:v>Hipótesis editable</x:v>
      </x:c>
      <x:c r="F11" s="183"/>
      <x:c r="G11" s="183"/>
      <x:c r="H11" s="183"/>
      <x:c r="I11" s="183"/>
      <x:c r="J11" s="183"/>
      <x:c r="K11" s="183"/>
      <x:c r="L11" s="183"/>
      <x:c r="M11" s="183"/>
      <x:c r="N11" s="183"/>
    </x:row>
    <x:row r="12">
      <x:c r="A12" s="44" t="str">
        <x:v>Churn mensual de registrados</x:v>
      </x:c>
      <x:c r="B12" s="200" t="n">
        <x:f>INDEX('02_Escenarios'!$B$9:$E$9,1,MATCH($B$5,'02_Escenarios'!$B$4:$E$4,0))</x:f>
        <x:v>0.035</x:v>
      </x:c>
      <x:c r="C12" s="185" t="str">
        <x:v>%</x:v>
      </x:c>
      <x:c r="D12" s="185" t="str">
        <x:v>02_Escenarios</x:v>
      </x:c>
      <x:c r="E12" s="185" t="str">
        <x:v>Hipótesis editable</x:v>
      </x:c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>
      <x:c r="A13" s="44" t="str">
        <x:v>Porcentaje de usuarios activos</x:v>
      </x:c>
      <x:c r="B13" s="200" t="n">
        <x:f>INDEX('02_Escenarios'!$B$10:$E$10,1,MATCH($B$5,'02_Escenarios'!$B$4:$E$4,0))</x:f>
        <x:v>0.3</x:v>
      </x:c>
      <x:c r="C13" s="185" t="str">
        <x:v>%</x:v>
      </x:c>
      <x:c r="D13" s="185" t="str">
        <x:v>02_Escenarios</x:v>
      </x:c>
      <x:c r="E13" s="185" t="str">
        <x:v>Variable solicitada en la guía</x:v>
      </x:c>
      <x:c r="F13" s="183"/>
      <x:c r="G13" s="183"/>
      <x:c r="H13" s="183"/>
      <x:c r="I13" s="183"/>
      <x:c r="J13" s="183"/>
      <x:c r="K13" s="183"/>
      <x:c r="L13" s="183"/>
      <x:c r="M13" s="183"/>
      <x:c r="N13" s="183"/>
    </x:row>
    <x:row r="14">
      <x:c r="A14" s="44" t="str">
        <x:v>Partidas por usuario activo al mes</x:v>
      </x:c>
      <x:c r="B14" s="198" t="n">
        <x:f>INDEX('02_Escenarios'!$B$11:$E$11,1,MATCH($B$5,'02_Escenarios'!$B$4:$E$4,0))</x:f>
        <x:v>30</x:v>
      </x:c>
      <x:c r="C14" s="185" t="str">
        <x:v>partidas</x:v>
      </x:c>
      <x:c r="D14" s="185" t="str">
        <x:v>02_Escenarios</x:v>
      </x:c>
      <x:c r="E14" s="185" t="str">
        <x:v>Variable solicitada en la guía</x:v>
      </x:c>
      <x:c r="F14" s="183"/>
      <x:c r="G14" s="183"/>
      <x:c r="H14" s="183"/>
      <x:c r="I14" s="183"/>
      <x:c r="J14" s="183"/>
      <x:c r="K14" s="183"/>
      <x:c r="L14" s="183"/>
      <x:c r="M14" s="183"/>
      <x:c r="N14" s="183"/>
    </x:row>
    <x:row r="15">
      <x:c r="A15" s="44" t="str">
        <x:v>Ingreso medio generado por partida</x:v>
      </x:c>
      <x:c r="B15" s="199" t="n">
        <x:f>INDEX('02_Escenarios'!$B$12:$E$12,1,MATCH($B$5,'02_Escenarios'!$B$4:$E$4,0))</x:f>
        <x:v>0.05</x:v>
      </x:c>
      <x:c r="C15" s="185" t="str">
        <x:v>€/partida</x:v>
      </x:c>
      <x:c r="D15" s="185" t="str">
        <x:v>02_Escenarios</x:v>
      </x:c>
      <x:c r="E15" s="185" t="str">
        <x:v>Publicidad, patrocinio y compras virtuales</x:v>
      </x:c>
      <x:c r="F15" s="183"/>
      <x:c r="G15" s="183"/>
      <x:c r="H15" s="183"/>
      <x:c r="I15" s="183"/>
      <x:c r="J15" s="183"/>
      <x:c r="K15" s="183"/>
      <x:c r="L15" s="183"/>
      <x:c r="M15" s="183"/>
      <x:c r="N15" s="183"/>
    </x:row>
    <x:row r="16">
      <x:c r="A16" s="44" t="str">
        <x:v>Coste medio de premios por partida</x:v>
      </x:c>
      <x:c r="B16" s="199" t="n">
        <x:f>INDEX('02_Escenarios'!$B$13:$E$13,1,MATCH($B$5,'02_Escenarios'!$B$4:$E$4,0))</x:f>
        <x:v>0.01</x:v>
      </x:c>
      <x:c r="C16" s="185" t="str">
        <x:v>€/partida</x:v>
      </x:c>
      <x:c r="D16" s="185" t="str">
        <x:v>02_Escenarios</x:v>
      </x:c>
      <x:c r="E16" s="185" t="str">
        <x:v>Premios/promociones no monetarias</x:v>
      </x:c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>
      <x:c r="A17" s="44" t="str">
        <x:v>Conversión a premium</x:v>
      </x:c>
      <x:c r="B17" s="200" t="n">
        <x:f>INDEX('02_Escenarios'!$B$14:$E$14,1,MATCH($B$5,'02_Escenarios'!$B$4:$E$4,0))</x:f>
        <x:v>0.04</x:v>
      </x:c>
      <x:c r="C17" s="185" t="str">
        <x:v>% activos</x:v>
      </x:c>
      <x:c r="D17" s="185" t="str">
        <x:v>02_Escenarios</x:v>
      </x:c>
      <x:c r="E17" s="185" t="str">
        <x:v>Hipótesis editable</x:v>
      </x:c>
      <x:c r="F17" s="183"/>
      <x:c r="G17" s="183"/>
      <x:c r="H17" s="183"/>
      <x:c r="I17" s="183"/>
      <x:c r="J17" s="183"/>
      <x:c r="K17" s="183"/>
      <x:c r="L17" s="183"/>
      <x:c r="M17" s="183"/>
      <x:c r="N17" s="183"/>
    </x:row>
    <x:row r="18">
      <x:c r="A18" s="44" t="str">
        <x:v>Precio premium mensual</x:v>
      </x:c>
      <x:c r="B18" s="199" t="n">
        <x:f>INDEX('02_Escenarios'!$B$15:$E$15,1,MATCH($B$5,'02_Escenarios'!$B$4:$E$4,0))</x:f>
        <x:v>5.99</x:v>
      </x:c>
      <x:c r="C18" s="185" t="str">
        <x:v>€/mes</x:v>
      </x:c>
      <x:c r="D18" s="185" t="str">
        <x:v>02_Escenarios</x:v>
      </x:c>
      <x:c r="E18" s="185" t="str">
        <x:v>Hipótesis editable</x:v>
      </x:c>
      <x:c r="F18" s="183"/>
      <x:c r="G18" s="183"/>
      <x:c r="H18" s="183"/>
      <x:c r="I18" s="183"/>
      <x:c r="J18" s="183"/>
      <x:c r="K18" s="183"/>
      <x:c r="L18" s="183"/>
      <x:c r="M18" s="183"/>
      <x:c r="N18" s="183"/>
    </x:row>
    <x:row r="19">
      <x:c r="A19" s="44" t="str">
        <x:v>Ingreso de afiliación por activo al mes</x:v>
      </x:c>
      <x:c r="B19" s="199" t="n">
        <x:f>INDEX('02_Escenarios'!$B$16:$E$16,1,MATCH($B$5,'02_Escenarios'!$B$4:$E$4,0))</x:f>
        <x:v>0.2</x:v>
      </x:c>
      <x:c r="C19" s="185" t="str">
        <x:v>€/activo/mes</x:v>
      </x:c>
      <x:c r="D19" s="185" t="str">
        <x:v>02_Escenarios</x:v>
      </x:c>
      <x:c r="E19" s="185" t="str">
        <x:v>Hipótesis editable</x:v>
      </x:c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>
      <x:c r="A20" s="44" t="str">
        <x:v>Activar cajas de pago</x:v>
      </x:c>
      <x:c r="B20" s="200" t="n">
        <x:f>INDEX('02_Escenarios'!$B$17:$E$17,1,MATCH($B$5,'02_Escenarios'!$B$4:$E$4,0))</x:f>
        <x:v>0</x:v>
      </x:c>
      <x:c r="C20" s="185" t="str">
        <x:v>0 = no / 1 = sí</x:v>
      </x:c>
      <x:c r="D20" s="185" t="str">
        <x:v>02_Escenarios</x:v>
      </x:c>
      <x:c r="E20" s="185" t="str">
        <x:v>Desactivado hasta revisión legal</x:v>
      </x:c>
      <x:c r="F20" s="183"/>
      <x:c r="G20" s="183"/>
      <x:c r="H20" s="183"/>
      <x:c r="I20" s="183"/>
      <x:c r="J20" s="183"/>
      <x:c r="K20" s="183"/>
      <x:c r="L20" s="183"/>
      <x:c r="M20" s="183"/>
      <x:c r="N20" s="183"/>
    </x:row>
    <x:row r="21">
      <x:c r="A21" s="44" t="str">
        <x:v>Compradores de cajas</x:v>
      </x:c>
      <x:c r="B21" s="200" t="n">
        <x:f>INDEX('02_Escenarios'!$B$18:$E$18,1,MATCH($B$5,'02_Escenarios'!$B$4:$E$4,0))</x:f>
        <x:v>0.01</x:v>
      </x:c>
      <x:c r="C21" s="185" t="str">
        <x:v>% activos</x:v>
      </x:c>
      <x:c r="D21" s="185" t="str">
        <x:v>02_Escenarios</x:v>
      </x:c>
      <x:c r="E21" s="185" t="str">
        <x:v>Solo se usa cuando la fila anterior vale 1</x:v>
      </x:c>
      <x:c r="F21" s="183"/>
      <x:c r="G21" s="183"/>
      <x:c r="H21" s="183"/>
      <x:c r="I21" s="183"/>
      <x:c r="J21" s="183"/>
      <x:c r="K21" s="183"/>
      <x:c r="L21" s="183"/>
      <x:c r="M21" s="183"/>
      <x:c r="N21" s="183"/>
    </x:row>
    <x:row r="22">
      <x:c r="A22" s="44" t="str">
        <x:v>Aperturas por comprador al mes</x:v>
      </x:c>
      <x:c r="B22" s="198" t="n">
        <x:f>INDEX('02_Escenarios'!$B$19:$E$19,1,MATCH($B$5,'02_Escenarios'!$B$4:$E$4,0))</x:f>
        <x:v>1.2</x:v>
      </x:c>
      <x:c r="C22" s="185" t="str">
        <x:v>aperturas</x:v>
      </x:c>
      <x:c r="D22" s="185" t="str">
        <x:v>02_Escenarios</x:v>
      </x:c>
      <x:c r="E22" s="185" t="str">
        <x:v>Hipótesis editable</x:v>
      </x:c>
      <x:c r="F22" s="183"/>
      <x:c r="G22" s="183"/>
      <x:c r="H22" s="183"/>
      <x:c r="I22" s="183"/>
      <x:c r="J22" s="183"/>
      <x:c r="K22" s="183"/>
      <x:c r="L22" s="183"/>
      <x:c r="M22" s="183"/>
      <x:c r="N22" s="183"/>
    </x:row>
    <x:row r="23">
      <x:c r="A23" s="44" t="str">
        <x:v>Precio medio de caja</x:v>
      </x:c>
      <x:c r="B23" s="199" t="n">
        <x:f>INDEX('02_Escenarios'!$B$20:$E$20,1,MATCH($B$5,'02_Escenarios'!$B$4:$E$4,0))</x:f>
        <x:v>12.99</x:v>
      </x:c>
      <x:c r="C23" s="185" t="str">
        <x:v>€</x:v>
      </x:c>
      <x:c r="D23" s="185" t="str">
        <x:v>02_Escenarios</x:v>
      </x:c>
      <x:c r="E23" s="185" t="str">
        <x:v>Hipótesis editable</x:v>
      </x:c>
      <x:c r="F23" s="183"/>
      <x:c r="G23" s="183"/>
      <x:c r="H23" s="183"/>
      <x:c r="I23" s="183"/>
      <x:c r="J23" s="183"/>
      <x:c r="K23" s="183"/>
      <x:c r="L23" s="183"/>
      <x:c r="M23" s="183"/>
      <x:c r="N23" s="183"/>
    </x:row>
    <x:row r="24">
      <x:c r="A24" s="44" t="str">
        <x:v>Coste de premios de cajas</x:v>
      </x:c>
      <x:c r="B24" s="200" t="n">
        <x:f>INDEX('02_Escenarios'!$B$21:$E$21,1,MATCH($B$5,'02_Escenarios'!$B$4:$E$4,0))</x:f>
        <x:v>0.1</x:v>
      </x:c>
      <x:c r="C24" s="185" t="str">
        <x:v>% ingresos cajas</x:v>
      </x:c>
      <x:c r="D24" s="185" t="str">
        <x:v>02_Escenarios</x:v>
      </x:c>
      <x:c r="E24" s="185" t="str">
        <x:v>Debe incluir premio, logística y fraude</x:v>
      </x:c>
      <x:c r="F24" s="183"/>
      <x:c r="G24" s="183"/>
      <x:c r="H24" s="183"/>
      <x:c r="I24" s="183"/>
      <x:c r="J24" s="183"/>
      <x:c r="K24" s="183"/>
      <x:c r="L24" s="183"/>
      <x:c r="M24" s="183"/>
      <x:c r="N24" s="183"/>
    </x:row>
    <x:row r="25">
      <x:c r="A25" s="44" t="str">
        <x:v>Comisión de pagos</x:v>
      </x:c>
      <x:c r="B25" s="199" t="n">
        <x:f>INDEX('02_Escenarios'!$B$22:$E$22,1,MATCH($B$5,'02_Escenarios'!$B$4:$E$4,0))</x:f>
        <x:v>0.03</x:v>
      </x:c>
      <x:c r="C25" s="185" t="str">
        <x:v>% cobros</x:v>
      </x:c>
      <x:c r="D25" s="185" t="str">
        <x:v>02_Escenarios</x:v>
      </x:c>
      <x:c r="E25" s="185" t="str">
        <x:v>Hipótesis editable</x:v>
      </x:c>
      <x:c r="F25" s="183"/>
      <x:c r="G25" s="183"/>
      <x:c r="H25" s="183"/>
      <x:c r="I25" s="183"/>
      <x:c r="J25" s="183"/>
      <x:c r="K25" s="183"/>
      <x:c r="L25" s="183"/>
      <x:c r="M25" s="183"/>
      <x:c r="N25" s="183"/>
    </x:row>
    <x:row r="26">
      <x:c r="A26" s="44" t="str">
        <x:v>Servidor base mensual</x:v>
      </x:c>
      <x:c r="B26" s="199" t="n">
        <x:f>INDEX('02_Escenarios'!$B$23:$E$23,1,MATCH($B$5,'02_Escenarios'!$B$4:$E$4,0))</x:f>
        <x:v>260</x:v>
      </x:c>
      <x:c r="C26" s="185" t="str">
        <x:v>€/mes</x:v>
      </x:c>
      <x:c r="D26" s="185" t="str">
        <x:v>02_Escenarios</x:v>
      </x:c>
      <x:c r="E26" s="185" t="str">
        <x:v>Variable solicitada en la guía</x:v>
      </x:c>
      <x:c r="F26" s="183"/>
      <x:c r="G26" s="183"/>
      <x:c r="H26" s="183"/>
      <x:c r="I26" s="183"/>
      <x:c r="J26" s="183"/>
      <x:c r="K26" s="183"/>
      <x:c r="L26" s="183"/>
      <x:c r="M26" s="183"/>
      <x:c r="N26" s="183"/>
    </x:row>
    <x:row r="27">
      <x:c r="A27" s="44" t="str">
        <x:v>Infraestructura variable por activo</x:v>
      </x:c>
      <x:c r="B27" s="197" t="n">
        <x:f>INDEX('02_Escenarios'!$B$24:$E$24,1,MATCH($B$5,'02_Escenarios'!$B$4:$E$4,0))</x:f>
        <x:v>0.038</x:v>
      </x:c>
      <x:c r="C27" s="185" t="str">
        <x:v>€/activo/mes</x:v>
      </x:c>
      <x:c r="D27" s="185" t="str">
        <x:v>02_Escenarios</x:v>
      </x:c>
      <x:c r="E27" s="185" t="str">
        <x:v>Tráfico, CDN, base de datos y almacenamiento</x:v>
      </x:c>
      <x:c r="F27" s="183"/>
      <x:c r="G27" s="183"/>
      <x:c r="H27" s="183"/>
      <x:c r="I27" s="183"/>
      <x:c r="J27" s="183"/>
      <x:c r="K27" s="183"/>
      <x:c r="L27" s="183"/>
      <x:c r="M27" s="183"/>
      <x:c r="N27" s="183"/>
    </x:row>
    <x:row r="28">
      <x:c r="A28" s="44" t="str">
        <x:v>Desarrollo y mantenimiento mensual</x:v>
      </x:c>
      <x:c r="B28" s="199" t="n">
        <x:f>INDEX('02_Escenarios'!$B$25:$E$25,1,MATCH($B$5,'02_Escenarios'!$B$4:$E$4,0))</x:f>
        <x:v>1200</x:v>
      </x:c>
      <x:c r="C28" s="185" t="str">
        <x:v>€/mes</x:v>
      </x:c>
      <x:c r="D28" s="185" t="str">
        <x:v>02_Escenarios</x:v>
      </x:c>
      <x:c r="E28" s="185" t="str">
        <x:v>Coste técnico recurrente</x:v>
      </x:c>
      <x:c r="F28" s="183"/>
      <x:c r="G28" s="183"/>
      <x:c r="H28" s="183"/>
      <x:c r="I28" s="183"/>
      <x:c r="J28" s="183"/>
      <x:c r="K28" s="183"/>
      <x:c r="L28" s="183"/>
      <x:c r="M28" s="183"/>
      <x:c r="N28" s="183"/>
    </x:row>
    <x:row r="29">
      <x:c r="A29" s="44" t="str">
        <x:v>Software y monitorización mensual</x:v>
      </x:c>
      <x:c r="B29" s="199" t="n">
        <x:f>INDEX('02_Escenarios'!$B$26:$E$26,1,MATCH($B$5,'02_Escenarios'!$B$4:$E$4,0))</x:f>
        <x:v>220</x:v>
      </x:c>
      <x:c r="C29" s="185" t="str">
        <x:v>€/mes</x:v>
      </x:c>
      <x:c r="D29" s="185" t="str">
        <x:v>02_Escenarios</x:v>
      </x:c>
      <x:c r="E29" s="185" t="str">
        <x:v>Logs, correo, analítica, seguridad</x:v>
      </x:c>
      <x:c r="F29" s="183"/>
      <x:c r="G29" s="183"/>
      <x:c r="H29" s="183"/>
      <x:c r="I29" s="183"/>
      <x:c r="J29" s="183"/>
      <x:c r="K29" s="183"/>
      <x:c r="L29" s="183"/>
      <x:c r="M29" s="183"/>
      <x:c r="N29" s="183"/>
    </x:row>
    <x:row r="30">
      <x:c r="A30" s="44" t="str">
        <x:v>Soporte y administración fijo mensual</x:v>
      </x:c>
      <x:c r="B30" s="199" t="n">
        <x:f>INDEX('02_Escenarios'!$B$27:$E$27,1,MATCH($B$5,'02_Escenarios'!$B$4:$E$4,0))</x:f>
        <x:v>350</x:v>
      </x:c>
      <x:c r="C30" s="185" t="str">
        <x:v>€/mes</x:v>
      </x:c>
      <x:c r="D30" s="185" t="str">
        <x:v>02_Escenarios</x:v>
      </x:c>
      <x:c r="E30" s="185" t="str">
        <x:v>Atención, moderación y gestión</x:v>
      </x:c>
      <x:c r="F30" s="183"/>
      <x:c r="G30" s="183"/>
      <x:c r="H30" s="183"/>
      <x:c r="I30" s="183"/>
      <x:c r="J30" s="183"/>
      <x:c r="K30" s="183"/>
      <x:c r="L30" s="183"/>
      <x:c r="M30" s="183"/>
      <x:c r="N30" s="183"/>
    </x:row>
    <x:row r="31">
      <x:c r="A31" s="44" t="str">
        <x:v>Soporte variable por activo</x:v>
      </x:c>
      <x:c r="B31" s="197" t="n">
        <x:f>INDEX('02_Escenarios'!$B$28:$E$28,1,MATCH($B$5,'02_Escenarios'!$B$4:$E$4,0))</x:f>
        <x:v>0.018</x:v>
      </x:c>
      <x:c r="C31" s="185" t="str">
        <x:v>€/activo/mes</x:v>
      </x:c>
      <x:c r="D31" s="185" t="str">
        <x:v>02_Escenarios</x:v>
      </x:c>
      <x:c r="E31" s="185" t="str">
        <x:v>Hipótesis editable</x:v>
      </x:c>
      <x:c r="F31" s="183"/>
      <x:c r="G31" s="183"/>
      <x:c r="H31" s="183"/>
      <x:c r="I31" s="183"/>
      <x:c r="J31" s="183"/>
      <x:c r="K31" s="183"/>
      <x:c r="L31" s="183"/>
      <x:c r="M31" s="183"/>
      <x:c r="N31" s="183"/>
    </x:row>
    <x:row r="32">
      <x:c r="A32" s="44" t="str">
        <x:v>Dominio anual</x:v>
      </x:c>
      <x:c r="B32" s="199" t="n">
        <x:f>INDEX('02_Escenarios'!$B$29:$E$29,1,MATCH($B$5,'02_Escenarios'!$B$4:$E$4,0))</x:f>
        <x:v>20</x:v>
      </x:c>
      <x:c r="C32" s="185" t="str">
        <x:v>€/año</x:v>
      </x:c>
      <x:c r="D32" s="185" t="str">
        <x:v>02_Escenarios</x:v>
      </x:c>
      <x:c r="E32" s="185" t="str">
        <x:v>Variable solicitada en la guía</x:v>
      </x:c>
      <x:c r="F32" s="183"/>
      <x:c r="G32" s="183"/>
      <x:c r="H32" s="183"/>
      <x:c r="I32" s="183"/>
      <x:c r="J32" s="183"/>
      <x:c r="K32" s="183"/>
      <x:c r="L32" s="183"/>
      <x:c r="M32" s="183"/>
      <x:c r="N32" s="183"/>
    </x:row>
    <x:row r="33">
      <x:c r="A33" s="44" t="str">
        <x:v>Legal y cumplimiento anual</x:v>
      </x:c>
      <x:c r="B33" s="199" t="n">
        <x:f>INDEX('02_Escenarios'!$B$30:$E$30,1,MATCH($B$5,'02_Escenarios'!$B$4:$E$4,0))</x:f>
        <x:v>7000</x:v>
      </x:c>
      <x:c r="C33" s="185" t="str">
        <x:v>€/año</x:v>
      </x:c>
      <x:c r="D33" s="185" t="str">
        <x:v>02_Escenarios</x:v>
      </x:c>
      <x:c r="E33" s="185" t="str">
        <x:v>Revisión legal, privacidad y términos</x:v>
      </x:c>
      <x:c r="F33" s="183"/>
      <x:c r="G33" s="183"/>
      <x:c r="H33" s="183"/>
      <x:c r="I33" s="183"/>
      <x:c r="J33" s="183"/>
      <x:c r="K33" s="183"/>
      <x:c r="L33" s="183"/>
      <x:c r="M33" s="183"/>
      <x:c r="N33" s="183"/>
    </x:row>
    <x:row r="34">
      <x:c r="A34" s="44" t="str">
        <x:v>Contabilidad y seguros anual</x:v>
      </x:c>
      <x:c r="B34" s="199" t="n">
        <x:f>INDEX('02_Escenarios'!$B$31:$E$31,1,MATCH($B$5,'02_Escenarios'!$B$4:$E$4,0))</x:f>
        <x:v>1800</x:v>
      </x:c>
      <x:c r="C34" s="185" t="str">
        <x:v>€/año</x:v>
      </x:c>
      <x:c r="D34" s="185" t="str">
        <x:v>02_Escenarios</x:v>
      </x:c>
      <x:c r="E34" s="185" t="str">
        <x:v>Hipótesis editable</x:v>
      </x:c>
      <x:c r="F34" s="183"/>
      <x:c r="G34" s="183"/>
      <x:c r="H34" s="183"/>
      <x:c r="I34" s="183"/>
      <x:c r="J34" s="183"/>
      <x:c r="K34" s="183"/>
      <x:c r="L34" s="183"/>
      <x:c r="M34" s="183"/>
      <x:c r="N34" s="183"/>
    </x:row>
    <x:row r="35">
      <x:c r="A35" s="44" t="str">
        <x:v>Otros costes fijos mensuales</x:v>
      </x:c>
      <x:c r="B35" s="199" t="n">
        <x:f>INDEX('02_Escenarios'!$B$32:$E$32,1,MATCH($B$5,'02_Escenarios'!$B$4:$E$4,0))</x:f>
        <x:v>220</x:v>
      </x:c>
      <x:c r="C35" s="185" t="str">
        <x:v>€/mes</x:v>
      </x:c>
      <x:c r="D35" s="185" t="str">
        <x:v>02_Escenarios</x:v>
      </x:c>
      <x:c r="E35" s="185" t="str">
        <x:v>Reserva para imprevistos operativos</x:v>
      </x:c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>
      <x:c r="A36" s="44" t="str">
        <x:v>Otros costes variables</x:v>
      </x:c>
      <x:c r="B36" s="200" t="n">
        <x:f>INDEX('02_Escenarios'!$B$33:$E$33,1,MATCH($B$5,'02_Escenarios'!$B$4:$E$4,0))</x:f>
        <x:v>0.02</x:v>
      </x:c>
      <x:c r="C36" s="185" t="str">
        <x:v>% ingresos</x:v>
      </x:c>
      <x:c r="D36" s="185" t="str">
        <x:v>02_Escenarios</x:v>
      </x:c>
      <x:c r="E36" s="185" t="str">
        <x:v>Fraude, devoluciones, herramientas variables</x:v>
      </x:c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>
      <x:c r="A37" s="44" t="str">
        <x:v>Inversión inicial de desarrollo</x:v>
      </x:c>
      <x:c r="B37" s="199" t="n">
        <x:f>INDEX('02_Escenarios'!$B$34:$E$34,1,MATCH($B$5,'02_Escenarios'!$B$4:$E$4,0))</x:f>
        <x:v>42000</x:v>
      </x:c>
      <x:c r="C37" s="185" t="str">
        <x:v>€</x:v>
      </x:c>
      <x:c r="D37" s="185" t="str">
        <x:v>02_Escenarios</x:v>
      </x:c>
      <x:c r="E37" s="185" t="str">
        <x:v>Coste histórico o coste de reposición</x:v>
      </x:c>
      <x:c r="F37" s="183"/>
      <x:c r="G37" s="183"/>
      <x:c r="H37" s="183"/>
      <x:c r="I37" s="183"/>
      <x:c r="J37" s="183"/>
      <x:c r="K37" s="183"/>
      <x:c r="L37" s="183"/>
      <x:c r="M37" s="183"/>
      <x:c r="N37" s="183"/>
    </x:row>
    <x:row r="38">
      <x:c r="A38" s="44" t="str">
        <x:v>Lanzamiento y branding inicial</x:v>
      </x:c>
      <x:c r="B38" s="199" t="n">
        <x:f>INDEX('02_Escenarios'!$B$35:$E$35,1,MATCH($B$5,'02_Escenarios'!$B$4:$E$4,0))</x:f>
        <x:v>4500</x:v>
      </x:c>
      <x:c r="C38" s="185" t="str">
        <x:v>€</x:v>
      </x:c>
      <x:c r="D38" s="185" t="str">
        <x:v>02_Escenarios</x:v>
      </x:c>
      <x:c r="E38" s="185" t="str">
        <x:v>Creatividades, pruebas y campaña inicial</x:v>
      </x:c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>
      <x:c r="A39" s="44" t="str">
        <x:v>Beneficio anual objetivo</x:v>
      </x:c>
      <x:c r="B39" s="199" t="n">
        <x:f>INDEX('02_Escenarios'!$B$36:$E$36,1,MATCH($B$5,'02_Escenarios'!$B$4:$E$4,0))</x:f>
        <x:v>30000</x:v>
      </x:c>
      <x:c r="C39" s="185" t="str">
        <x:v>€/año</x:v>
      </x:c>
      <x:c r="D39" s="185" t="str">
        <x:v>02_Escenarios</x:v>
      </x:c>
      <x:c r="E39" s="185" t="str">
        <x:v>Variable solicitada en la guía</x:v>
      </x:c>
      <x:c r="F39" s="183"/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44" t="str">
        <x:v>Reserva de caja deseada</x:v>
      </x:c>
      <x:c r="B40" s="198" t="n">
        <x:f>INDEX('02_Escenarios'!$B$37:$E$37,1,MATCH($B$5,'02_Escenarios'!$B$4:$E$4,0))</x:f>
        <x:v>4</x:v>
      </x:c>
      <x:c r="C40" s="185" t="str">
        <x:v>meses de costes fijos</x:v>
      </x:c>
      <x:c r="D40" s="185" t="str">
        <x:v>02_Escenarios</x:v>
      </x:c>
      <x:c r="E40" s="185" t="str">
        <x:v>Colchón de tesorería</x:v>
      </x:c>
      <x:c r="F40" s="183"/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44" t="str">
        <x:v>Tipo fiscal estimado</x:v>
      </x:c>
      <x:c r="B41" s="200" t="n">
        <x:f>INDEX('02_Escenarios'!$B$38:$E$38,1,MATCH($B$5,'02_Escenarios'!$B$4:$E$4,0))</x:f>
        <x:v>0</x:v>
      </x:c>
      <x:c r="C41" s="185" t="str">
        <x:v>% beneficio</x:v>
      </x:c>
      <x:c r="D41" s="185" t="str">
        <x:v>02_Escenarios</x:v>
      </x:c>
      <x:c r="E41" s="185" t="str">
        <x:v>Completar con asesor fiscal; 0% por defecto</x:v>
      </x:c>
      <x:c r="F41" s="183"/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2" customHeight="1">
      <x:c r="A1" s="5" t="str">
        <x:v>Modelo financiero mensual - Año 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Los flujos se calculan automáticamente a partir del escenario seleccionado.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30" t="str">
        <x:v>Métrica</x:v>
      </x:c>
      <x:c r="B4" s="30" t="str">
        <x:v>Mes 1</x:v>
      </x:c>
      <x:c r="C4" s="30" t="str">
        <x:v>Mes 2</x:v>
      </x:c>
      <x:c r="D4" s="30" t="str">
        <x:v>Mes 3</x:v>
      </x:c>
      <x:c r="E4" s="30" t="str">
        <x:v>Mes 4</x:v>
      </x:c>
      <x:c r="F4" s="30" t="str">
        <x:v>Mes 5</x:v>
      </x:c>
      <x:c r="G4" s="30" t="str">
        <x:v>Mes 6</x:v>
      </x:c>
      <x:c r="H4" s="30" t="str">
        <x:v>Mes 7</x:v>
      </x:c>
      <x:c r="I4" s="30" t="str">
        <x:v>Mes 8</x:v>
      </x:c>
      <x:c r="J4" s="30" t="str">
        <x:v>Mes 9</x:v>
      </x:c>
      <x:c r="K4" s="30" t="str">
        <x:v>Mes 10</x:v>
      </x:c>
      <x:c r="L4" s="30" t="str">
        <x:v>Mes 11</x:v>
      </x:c>
      <x:c r="M4" s="30" t="str">
        <x:v>Mes 12</x:v>
      </x:c>
      <x:c r="N4" s="30" t="str">
        <x:v>Año 1 / cierre</x:v>
      </x:c>
    </x:row>
    <x:row r="5">
      <x:c r="A5" s="185" t="str">
        <x:v>Usuarios registrados al inicio</x:v>
      </x:c>
      <x:c r="B5" s="198" t="n">
        <x:f>'03_Supuestos'!$B$8</x:f>
        <x:v>2000</x:v>
      </x:c>
      <x:c r="C5" s="198" t="n">
        <x:f>B9</x:f>
        <x:v>2246.6666666666665</x:v>
      </x:c>
      <x:c r="D5" s="198" t="n">
        <x:f>C9</x:f>
        <x:v>2484.7</x:v>
      </x:c>
      <x:c r="E5" s="198" t="n">
        <x:f>D9</x:f>
        <x:v>2714.4021666666663</x:v>
      </x:c>
      <x:c r="F5" s="198" t="n">
        <x:f>E9</x:f>
        <x:v>2936.0647574999994</x:v>
      </x:c>
      <x:c r="G5" s="198" t="n">
        <x:f>F9</x:f>
        <x:v>3149.969157654166</x:v>
      </x:c>
      <x:c r="H5" s="198" t="n">
        <x:f>G9</x:f>
        <x:v>3356.3869038029366</x:v>
      </x:c>
      <x:c r="I5" s="198" t="n">
        <x:f>H9</x:f>
        <x:v>3555.5800288365003</x:v>
      </x:c>
      <x:c r="J5" s="198" t="n">
        <x:f>I9</x:f>
        <x:v>3747.8013944938893</x:v>
      </x:c>
      <x:c r="K5" s="198" t="n">
        <x:f>J9</x:f>
        <x:v>3933.2950123532696</x:v>
      </x:c>
      <x:c r="L5" s="198" t="n">
        <x:f>K9</x:f>
        <x:v>4112.2963535875715</x:v>
      </x:c>
      <x:c r="M5" s="198" t="n">
        <x:f>L9</x:f>
        <x:v>4285.032647878674</x:v>
      </x:c>
      <x:c r="N5" s="205" t="n">
        <x:f>M5</x:f>
        <x:v>4285.032647878674</x:v>
      </x:c>
    </x:row>
    <x:row r="6">
      <x:c r="A6" s="185" t="str">
        <x:v>Altas orgánicas</x:v>
      </x:c>
      <x:c r="B6" s="198" t="n">
        <x:f>'03_Supuestos'!$B$9</x:f>
        <x:v>150</x:v>
      </x:c>
      <x:c r="C6" s="198" t="n">
        <x:f>'03_Supuestos'!$B$9</x:f>
        <x:v>150</x:v>
      </x:c>
      <x:c r="D6" s="198" t="n">
        <x:f>'03_Supuestos'!$B$9</x:f>
        <x:v>150</x:v>
      </x:c>
      <x:c r="E6" s="198" t="n">
        <x:f>'03_Supuestos'!$B$9</x:f>
        <x:v>150</x:v>
      </x:c>
      <x:c r="F6" s="198" t="n">
        <x:f>'03_Supuestos'!$B$9</x:f>
        <x:v>150</x:v>
      </x:c>
      <x:c r="G6" s="198" t="n">
        <x:f>'03_Supuestos'!$B$9</x:f>
        <x:v>150</x:v>
      </x:c>
      <x:c r="H6" s="198" t="n">
        <x:f>'03_Supuestos'!$B$9</x:f>
        <x:v>150</x:v>
      </x:c>
      <x:c r="I6" s="198" t="n">
        <x:f>'03_Supuestos'!$B$9</x:f>
        <x:v>150</x:v>
      </x:c>
      <x:c r="J6" s="198" t="n">
        <x:f>'03_Supuestos'!$B$9</x:f>
        <x:v>150</x:v>
      </x:c>
      <x:c r="K6" s="198" t="n">
        <x:f>'03_Supuestos'!$B$9</x:f>
        <x:v>150</x:v>
      </x:c>
      <x:c r="L6" s="198" t="n">
        <x:f>'03_Supuestos'!$B$9</x:f>
        <x:v>150</x:v>
      </x:c>
      <x:c r="M6" s="198" t="n">
        <x:f>'03_Supuestos'!$B$9</x:f>
        <x:v>150</x:v>
      </x:c>
      <x:c r="N6" s="205" t="n">
        <x:f>SUM(B6:M6)</x:f>
        <x:v>1800</x:v>
      </x:c>
    </x:row>
    <x:row r="7">
      <x:c r="A7" s="185" t="str">
        <x:v>Altas de marketing</x:v>
      </x:c>
      <x:c r="B7" s="198" t="n">
        <x:f>IFERROR('03_Supuestos'!$B$10/'03_Supuestos'!$B$11,0)</x:f>
        <x:v>166.66666666666666</x:v>
      </x:c>
      <x:c r="C7" s="198" t="n">
        <x:f>IFERROR('03_Supuestos'!$B$10/'03_Supuestos'!$B$11,0)</x:f>
        <x:v>166.66666666666666</x:v>
      </x:c>
      <x:c r="D7" s="198" t="n">
        <x:f>IFERROR('03_Supuestos'!$B$10/'03_Supuestos'!$B$11,0)</x:f>
        <x:v>166.66666666666666</x:v>
      </x:c>
      <x:c r="E7" s="198" t="n">
        <x:f>IFERROR('03_Supuestos'!$B$10/'03_Supuestos'!$B$11,0)</x:f>
        <x:v>166.66666666666666</x:v>
      </x:c>
      <x:c r="F7" s="198" t="n">
        <x:f>IFERROR('03_Supuestos'!$B$10/'03_Supuestos'!$B$11,0)</x:f>
        <x:v>166.66666666666666</x:v>
      </x:c>
      <x:c r="G7" s="198" t="n">
        <x:f>IFERROR('03_Supuestos'!$B$10/'03_Supuestos'!$B$11,0)</x:f>
        <x:v>166.66666666666666</x:v>
      </x:c>
      <x:c r="H7" s="198" t="n">
        <x:f>IFERROR('03_Supuestos'!$B$10/'03_Supuestos'!$B$11,0)</x:f>
        <x:v>166.66666666666666</x:v>
      </x:c>
      <x:c r="I7" s="198" t="n">
        <x:f>IFERROR('03_Supuestos'!$B$10/'03_Supuestos'!$B$11,0)</x:f>
        <x:v>166.66666666666666</x:v>
      </x:c>
      <x:c r="J7" s="198" t="n">
        <x:f>IFERROR('03_Supuestos'!$B$10/'03_Supuestos'!$B$11,0)</x:f>
        <x:v>166.66666666666666</x:v>
      </x:c>
      <x:c r="K7" s="198" t="n">
        <x:f>IFERROR('03_Supuestos'!$B$10/'03_Supuestos'!$B$11,0)</x:f>
        <x:v>166.66666666666666</x:v>
      </x:c>
      <x:c r="L7" s="198" t="n">
        <x:f>IFERROR('03_Supuestos'!$B$10/'03_Supuestos'!$B$11,0)</x:f>
        <x:v>166.66666666666666</x:v>
      </x:c>
      <x:c r="M7" s="198" t="n">
        <x:f>IFERROR('03_Supuestos'!$B$10/'03_Supuestos'!$B$11,0)</x:f>
        <x:v>166.66666666666666</x:v>
      </x:c>
      <x:c r="N7" s="205" t="n">
        <x:f>SUM(B7:M7)</x:f>
        <x:v>2000.0000000000002</x:v>
      </x:c>
    </x:row>
    <x:row r="8">
      <x:c r="A8" s="185" t="str">
        <x:v>Bajas / churn</x:v>
      </x:c>
      <x:c r="B8" s="205" t="n">
        <x:f>B5*'03_Supuestos'!$B$12</x:f>
        <x:v>70</x:v>
      </x:c>
      <x:c r="C8" s="205" t="n">
        <x:f>C5*'03_Supuestos'!$B$12</x:f>
        <x:v>78.63333333333334</x:v>
      </x:c>
      <x:c r="D8" s="205" t="n">
        <x:f>D5*'03_Supuestos'!$B$12</x:f>
        <x:v>86.9645</x:v>
      </x:c>
      <x:c r="E8" s="205" t="n">
        <x:f>E5*'03_Supuestos'!$B$12</x:f>
        <x:v>95.00407583333333</x:v>
      </x:c>
      <x:c r="F8" s="205" t="n">
        <x:f>F5*'03_Supuestos'!$B$12</x:f>
        <x:v>102.76226651249999</x:v>
      </x:c>
      <x:c r="G8" s="205" t="n">
        <x:f>G5*'03_Supuestos'!$B$12</x:f>
        <x:v>110.24892051789581</x:v>
      </x:c>
      <x:c r="H8" s="205" t="n">
        <x:f>H5*'03_Supuestos'!$B$12</x:f>
        <x:v>117.4735416331028</x:v>
      </x:c>
      <x:c r="I8" s="205" t="n">
        <x:f>I5*'03_Supuestos'!$B$12</x:f>
        <x:v>124.44530100927753</x:v>
      </x:c>
      <x:c r="J8" s="205" t="n">
        <x:f>J5*'03_Supuestos'!$B$12</x:f>
        <x:v>131.17304880728614</x:v>
      </x:c>
      <x:c r="K8" s="205" t="n">
        <x:f>K5*'03_Supuestos'!$B$12</x:f>
        <x:v>137.66532543236445</x:v>
      </x:c>
      <x:c r="L8" s="205" t="n">
        <x:f>L5*'03_Supuestos'!$B$12</x:f>
        <x:v>143.930372375565</x:v>
      </x:c>
      <x:c r="M8" s="205" t="n">
        <x:f>M5*'03_Supuestos'!$B$12</x:f>
        <x:v>149.9761426757536</x:v>
      </x:c>
      <x:c r="N8" s="205" t="n">
        <x:f>SUM(B8:M8)</x:f>
        <x:v>1348.276828130412</x:v>
      </x:c>
    </x:row>
    <x:row r="9">
      <x:c r="A9" s="185" t="str">
        <x:v>Usuarios registrados al cierre</x:v>
      </x:c>
      <x:c r="B9" s="205" t="n">
        <x:f>MAX(0,B5+B6+B7-B8)</x:f>
        <x:v>2246.6666666666665</x:v>
      </x:c>
      <x:c r="C9" s="205" t="n">
        <x:f>MAX(0,C5+C6+C7-C8)</x:f>
        <x:v>2484.7</x:v>
      </x:c>
      <x:c r="D9" s="205" t="n">
        <x:f>MAX(0,D5+D6+D7-D8)</x:f>
        <x:v>2714.4021666666663</x:v>
      </x:c>
      <x:c r="E9" s="205" t="n">
        <x:f>MAX(0,E5+E6+E7-E8)</x:f>
        <x:v>2936.0647574999994</x:v>
      </x:c>
      <x:c r="F9" s="205" t="n">
        <x:f>MAX(0,F5+F6+F7-F8)</x:f>
        <x:v>3149.969157654166</x:v>
      </x:c>
      <x:c r="G9" s="205" t="n">
        <x:f>MAX(0,G5+G6+G7-G8)</x:f>
        <x:v>3356.3869038029366</x:v>
      </x:c>
      <x:c r="H9" s="205" t="n">
        <x:f>MAX(0,H5+H6+H7-H8)</x:f>
        <x:v>3555.5800288365003</x:v>
      </x:c>
      <x:c r="I9" s="205" t="n">
        <x:f>MAX(0,I5+I6+I7-I8)</x:f>
        <x:v>3747.8013944938893</x:v>
      </x:c>
      <x:c r="J9" s="205" t="n">
        <x:f>MAX(0,J5+J6+J7-J8)</x:f>
        <x:v>3933.2950123532696</x:v>
      </x:c>
      <x:c r="K9" s="205" t="n">
        <x:f>MAX(0,K5+K6+K7-K8)</x:f>
        <x:v>4112.2963535875715</x:v>
      </x:c>
      <x:c r="L9" s="205" t="n">
        <x:f>MAX(0,L5+L6+L7-L8)</x:f>
        <x:v>4285.032647878674</x:v>
      </x:c>
      <x:c r="M9" s="205" t="n">
        <x:f>MAX(0,M5+M6+M7-M8)</x:f>
        <x:v>4451.7231718695875</x:v>
      </x:c>
      <x:c r="N9" s="205" t="n">
        <x:f>M9</x:f>
        <x:v>4451.7231718695875</x:v>
      </x:c>
    </x:row>
    <x:row r="10">
      <x:c r="A10" s="185" t="str">
        <x:v>Usuarios activos</x:v>
      </x:c>
      <x:c r="B10" s="205" t="n">
        <x:f>B9*'03_Supuestos'!$B$13</x:f>
        <x:v>673.9999999999999</x:v>
      </x:c>
      <x:c r="C10" s="205" t="n">
        <x:f>C9*'03_Supuestos'!$B$13</x:f>
        <x:v>745.41</x:v>
      </x:c>
      <x:c r="D10" s="205" t="n">
        <x:f>D9*'03_Supuestos'!$B$13</x:f>
        <x:v>814.3206499999999</x:v>
      </x:c>
      <x:c r="E10" s="205" t="n">
        <x:f>E9*'03_Supuestos'!$B$13</x:f>
        <x:v>880.8194272499998</x:v>
      </x:c>
      <x:c r="F10" s="205" t="n">
        <x:f>F9*'03_Supuestos'!$B$13</x:f>
        <x:v>944.9907472962498</x:v>
      </x:c>
      <x:c r="G10" s="205" t="n">
        <x:f>G9*'03_Supuestos'!$B$13</x:f>
        <x:v>1006.916071140881</x:v>
      </x:c>
      <x:c r="H10" s="205" t="n">
        <x:f>H9*'03_Supuestos'!$B$13</x:f>
        <x:v>1066.67400865095</x:v>
      </x:c>
      <x:c r="I10" s="205" t="n">
        <x:f>I9*'03_Supuestos'!$B$13</x:f>
        <x:v>1124.3404183481668</x:v>
      </x:c>
      <x:c r="J10" s="205" t="n">
        <x:f>J9*'03_Supuestos'!$B$13</x:f>
        <x:v>1179.9885037059807</x:v>
      </x:c>
      <x:c r="K10" s="205" t="n">
        <x:f>K9*'03_Supuestos'!$B$13</x:f>
        <x:v>1233.6889060762715</x:v>
      </x:c>
      <x:c r="L10" s="205" t="n">
        <x:f>L9*'03_Supuestos'!$B$13</x:f>
        <x:v>1285.5097943636022</x:v>
      </x:c>
      <x:c r="M10" s="205" t="n">
        <x:f>M9*'03_Supuestos'!$B$13</x:f>
        <x:v>1335.5169515608761</x:v>
      </x:c>
      <x:c r="N10" s="205" t="n">
        <x:f>M10</x:f>
        <x:v>1335.5169515608761</x:v>
      </x:c>
    </x:row>
    <x:row r="11">
      <x:c r="A11" s="185" t="str">
        <x:v>Partidas jugadas</x:v>
      </x:c>
      <x:c r="B11" s="205" t="n">
        <x:f>B10*'03_Supuestos'!$B$14</x:f>
        <x:v>20219.999999999996</x:v>
      </x:c>
      <x:c r="C11" s="205" t="n">
        <x:f>C10*'03_Supuestos'!$B$14</x:f>
        <x:v>22362.3</x:v>
      </x:c>
      <x:c r="D11" s="205" t="n">
        <x:f>D10*'03_Supuestos'!$B$14</x:f>
        <x:v>24429.619499999997</x:v>
      </x:c>
      <x:c r="E11" s="205" t="n">
        <x:f>E10*'03_Supuestos'!$B$14</x:f>
        <x:v>26424.58281749999</x:v>
      </x:c>
      <x:c r="F11" s="205" t="n">
        <x:f>F10*'03_Supuestos'!$B$14</x:f>
        <x:v>28349.722418887493</x:v>
      </x:c>
      <x:c r="G11" s="205" t="n">
        <x:f>G10*'03_Supuestos'!$B$14</x:f>
        <x:v>30207.48213422643</x:v>
      </x:c>
      <x:c r="H11" s="205" t="n">
        <x:f>H10*'03_Supuestos'!$B$14</x:f>
        <x:v>32000.2202595285</x:v>
      </x:c>
      <x:c r="I11" s="205" t="n">
        <x:f>I10*'03_Supuestos'!$B$14</x:f>
        <x:v>33730.21255044501</x:v>
      </x:c>
      <x:c r="J11" s="205" t="n">
        <x:f>J10*'03_Supuestos'!$B$14</x:f>
        <x:v>35399.655111179425</x:v>
      </x:c>
      <x:c r="K11" s="205" t="n">
        <x:f>K10*'03_Supuestos'!$B$14</x:f>
        <x:v>37010.66718228815</x:v>
      </x:c>
      <x:c r="L11" s="205" t="n">
        <x:f>L10*'03_Supuestos'!$B$14</x:f>
        <x:v>38565.293830908064</x:v>
      </x:c>
      <x:c r="M11" s="205" t="n">
        <x:f>M10*'03_Supuestos'!$B$14</x:f>
        <x:v>40065.508546826284</x:v>
      </x:c>
      <x:c r="N11" s="205" t="n">
        <x:f>SUM(B11:M11)</x:f>
        <x:v>368765.2643517894</x:v>
      </x:c>
    </x:row>
    <x:row r="12">
      <x:c r="A12" s="185" t="str">
        <x:v>Ingreso por partida</x:v>
      </x:c>
      <x:c r="B12" s="199" t="n">
        <x:f>'03_Supuestos'!$B$15</x:f>
        <x:v>0.05</x:v>
      </x:c>
      <x:c r="C12" s="199" t="n">
        <x:f>'03_Supuestos'!$B$15</x:f>
        <x:v>0.05</x:v>
      </x:c>
      <x:c r="D12" s="199" t="n">
        <x:f>'03_Supuestos'!$B$15</x:f>
        <x:v>0.05</x:v>
      </x:c>
      <x:c r="E12" s="199" t="n">
        <x:f>'03_Supuestos'!$B$15</x:f>
        <x:v>0.05</x:v>
      </x:c>
      <x:c r="F12" s="199" t="n">
        <x:f>'03_Supuestos'!$B$15</x:f>
        <x:v>0.05</x:v>
      </x:c>
      <x:c r="G12" s="199" t="n">
        <x:f>'03_Supuestos'!$B$15</x:f>
        <x:v>0.05</x:v>
      </x:c>
      <x:c r="H12" s="199" t="n">
        <x:f>'03_Supuestos'!$B$15</x:f>
        <x:v>0.05</x:v>
      </x:c>
      <x:c r="I12" s="199" t="n">
        <x:f>'03_Supuestos'!$B$15</x:f>
        <x:v>0.05</x:v>
      </x:c>
      <x:c r="J12" s="199" t="n">
        <x:f>'03_Supuestos'!$B$15</x:f>
        <x:v>0.05</x:v>
      </x:c>
      <x:c r="K12" s="199" t="n">
        <x:f>'03_Supuestos'!$B$15</x:f>
        <x:v>0.05</x:v>
      </x:c>
      <x:c r="L12" s="199" t="n">
        <x:f>'03_Supuestos'!$B$15</x:f>
        <x:v>0.05</x:v>
      </x:c>
      <x:c r="M12" s="199" t="n">
        <x:f>'03_Supuestos'!$B$15</x:f>
        <x:v>0.05</x:v>
      </x:c>
      <x:c r="N12" s="206" t="n">
        <x:f>'03_Supuestos'!$B$15</x:f>
        <x:v>0.05</x:v>
      </x:c>
    </x:row>
    <x:row r="13">
      <x:c r="A13" s="185" t="str">
        <x:v>Ingresos por partidas</x:v>
      </x:c>
      <x:c r="B13" s="206" t="n">
        <x:f>B11*B12</x:f>
        <x:v>1010.9999999999999</x:v>
      </x:c>
      <x:c r="C13" s="206" t="n">
        <x:f>C11*C12</x:f>
        <x:v>1118.115</x:v>
      </x:c>
      <x:c r="D13" s="206" t="n">
        <x:f>D11*D12</x:f>
        <x:v>1221.480975</x:v>
      </x:c>
      <x:c r="E13" s="206" t="n">
        <x:f>E11*E12</x:f>
        <x:v>1321.2291408749998</x:v>
      </x:c>
      <x:c r="F13" s="206" t="n">
        <x:f>F11*F12</x:f>
        <x:v>1417.4861209443748</x:v>
      </x:c>
      <x:c r="G13" s="206" t="n">
        <x:f>G11*G12</x:f>
        <x:v>1510.3741067113215</x:v>
      </x:c>
      <x:c r="H13" s="206" t="n">
        <x:f>H11*H12</x:f>
        <x:v>1600.0110129764253</x:v>
      </x:c>
      <x:c r="I13" s="206" t="n">
        <x:f>I11*I12</x:f>
        <x:v>1686.5106275222506</x:v>
      </x:c>
      <x:c r="J13" s="206" t="n">
        <x:f>J11*J12</x:f>
        <x:v>1769.9827555589713</x:v>
      </x:c>
      <x:c r="K13" s="206" t="n">
        <x:f>K11*K12</x:f>
        <x:v>1850.5333591144074</x:v>
      </x:c>
      <x:c r="L13" s="206" t="n">
        <x:f>L11*L12</x:f>
        <x:v>1928.2646915454034</x:v>
      </x:c>
      <x:c r="M13" s="206" t="n">
        <x:f>M11*M12</x:f>
        <x:v>2003.2754273413143</x:v>
      </x:c>
      <x:c r="N13" s="206" t="n">
        <x:f>SUM(B13:M13)</x:f>
        <x:v>18438.26321758947</x:v>
      </x:c>
    </x:row>
    <x:row r="14">
      <x:c r="A14" s="185" t="str">
        <x:v>Usuarios premium</x:v>
      </x:c>
      <x:c r="B14" s="205" t="n">
        <x:f>B10*'03_Supuestos'!$B$17</x:f>
        <x:v>26.959999999999997</x:v>
      </x:c>
      <x:c r="C14" s="205" t="n">
        <x:f>C10*'03_Supuestos'!$B$17</x:f>
        <x:v>29.816399999999998</x:v>
      </x:c>
      <x:c r="D14" s="205" t="n">
        <x:f>D10*'03_Supuestos'!$B$17</x:f>
        <x:v>32.572826</x:v>
      </x:c>
      <x:c r="E14" s="205" t="n">
        <x:f>E10*'03_Supuestos'!$B$17</x:f>
        <x:v>35.23277708999999</x:v>
      </x:c>
      <x:c r="F14" s="205" t="n">
        <x:f>F10*'03_Supuestos'!$B$17</x:f>
        <x:v>37.79962989184999</x:v>
      </x:c>
      <x:c r="G14" s="205" t="n">
        <x:f>G10*'03_Supuestos'!$B$17</x:f>
        <x:v>40.27664284563524</x:v>
      </x:c>
      <x:c r="H14" s="205" t="n">
        <x:f>H10*'03_Supuestos'!$B$17</x:f>
        <x:v>42.666960346038</x:v>
      </x:c>
      <x:c r="I14" s="205" t="n">
        <x:f>I10*'03_Supuestos'!$B$17</x:f>
        <x:v>44.973616733926676</x:v>
      </x:c>
      <x:c r="J14" s="205" t="n">
        <x:f>J10*'03_Supuestos'!$B$17</x:f>
        <x:v>47.19954014823923</x:v>
      </x:c>
      <x:c r="K14" s="205" t="n">
        <x:f>K10*'03_Supuestos'!$B$17</x:f>
        <x:v>49.34755624305086</x:v>
      </x:c>
      <x:c r="L14" s="205" t="n">
        <x:f>L10*'03_Supuestos'!$B$17</x:f>
        <x:v>51.420391774544086</x:v>
      </x:c>
      <x:c r="M14" s="205" t="n">
        <x:f>M10*'03_Supuestos'!$B$17</x:f>
        <x:v>53.420678062435044</x:v>
      </x:c>
      <x:c r="N14" s="205" t="n">
        <x:f>SUM(B14:M14)</x:f>
        <x:v>491.68701913571914</x:v>
      </x:c>
    </x:row>
    <x:row r="15">
      <x:c r="A15" s="185" t="str">
        <x:v>Ingresos premium</x:v>
      </x:c>
      <x:c r="B15" s="206" t="n">
        <x:f>B14*'03_Supuestos'!$B$18</x:f>
        <x:v>161.4904</x:v>
      </x:c>
      <x:c r="C15" s="206" t="n">
        <x:f>C14*'03_Supuestos'!$B$18</x:f>
        <x:v>178.600236</x:v>
      </x:c>
      <x:c r="D15" s="206" t="n">
        <x:f>D14*'03_Supuestos'!$B$18</x:f>
        <x:v>195.11122774</x:v>
      </x:c>
      <x:c r="E15" s="206" t="n">
        <x:f>E14*'03_Supuestos'!$B$18</x:f>
        <x:v>211.04433476909995</x:v>
      </x:c>
      <x:c r="F15" s="206" t="n">
        <x:f>F14*'03_Supuestos'!$B$18</x:f>
        <x:v>226.41978305218143</x:v>
      </x:c>
      <x:c r="G15" s="206" t="n">
        <x:f>G14*'03_Supuestos'!$B$18</x:f>
        <x:v>241.25709064535508</x:v>
      </x:c>
      <x:c r="H15" s="206" t="n">
        <x:f>H14*'03_Supuestos'!$B$18</x:f>
        <x:v>255.57509247276764</x:v>
      </x:c>
      <x:c r="I15" s="206" t="n">
        <x:f>I14*'03_Supuestos'!$B$18</x:f>
        <x:v>269.3919642362208</x:v>
      </x:c>
      <x:c r="J15" s="206" t="n">
        <x:f>J14*'03_Supuestos'!$B$18</x:f>
        <x:v>282.725245487953</x:v>
      </x:c>
      <x:c r="K15" s="206" t="n">
        <x:f>K14*'03_Supuestos'!$B$18</x:f>
        <x:v>295.5918618958747</x:v>
      </x:c>
      <x:c r="L15" s="206" t="n">
        <x:f>L14*'03_Supuestos'!$B$18</x:f>
        <x:v>308.00814672951907</x:v>
      </x:c>
      <x:c r="M15" s="206" t="n">
        <x:f>M14*'03_Supuestos'!$B$18</x:f>
        <x:v>319.98986159398595</x:v>
      </x:c>
      <x:c r="N15" s="206" t="n">
        <x:f>SUM(B15:M15)</x:f>
        <x:v>2945.2052446229573</x:v>
      </x:c>
    </x:row>
    <x:row r="16">
      <x:c r="A16" s="185" t="str">
        <x:v>Ingresos de afiliación</x:v>
      </x:c>
      <x:c r="B16" s="206" t="n">
        <x:f>B10*'03_Supuestos'!$B$19</x:f>
        <x:v>134.79999999999998</x:v>
      </x:c>
      <x:c r="C16" s="206" t="n">
        <x:f>C10*'03_Supuestos'!$B$19</x:f>
        <x:v>149.082</x:v>
      </x:c>
      <x:c r="D16" s="206" t="n">
        <x:f>D10*'03_Supuestos'!$B$19</x:f>
        <x:v>162.86413</x:v>
      </x:c>
      <x:c r="E16" s="206" t="n">
        <x:f>E10*'03_Supuestos'!$B$19</x:f>
        <x:v>176.16388544999995</x:v>
      </x:c>
      <x:c r="F16" s="206" t="n">
        <x:f>F10*'03_Supuestos'!$B$19</x:f>
        <x:v>188.99814945924996</x:v>
      </x:c>
      <x:c r="G16" s="206" t="n">
        <x:f>G10*'03_Supuestos'!$B$19</x:f>
        <x:v>201.3832142281762</x:v>
      </x:c>
      <x:c r="H16" s="206" t="n">
        <x:f>H10*'03_Supuestos'!$B$19</x:f>
        <x:v>213.33480173019004</x:v>
      </x:c>
      <x:c r="I16" s="206" t="n">
        <x:f>I10*'03_Supuestos'!$B$19</x:f>
        <x:v>224.8680836696334</x:v>
      </x:c>
      <x:c r="J16" s="206" t="n">
        <x:f>J10*'03_Supuestos'!$B$19</x:f>
        <x:v>235.99770074119616</x:v>
      </x:c>
      <x:c r="K16" s="206" t="n">
        <x:f>K10*'03_Supuestos'!$B$19</x:f>
        <x:v>246.7377812152543</x:v>
      </x:c>
      <x:c r="L16" s="206" t="n">
        <x:f>L10*'03_Supuestos'!$B$19</x:f>
        <x:v>257.10195887272045</x:v>
      </x:c>
      <x:c r="M16" s="206" t="n">
        <x:f>M10*'03_Supuestos'!$B$19</x:f>
        <x:v>267.10339031217524</x:v>
      </x:c>
      <x:c r="N16" s="206" t="n">
        <x:f>SUM(B16:M16)</x:f>
        <x:v>2458.4350956785956</x:v>
      </x:c>
    </x:row>
    <x:row r="17">
      <x:c r="A17" s="185" t="str">
        <x:v>Compradores de cajas</x:v>
      </x:c>
      <x:c r="B17" s="205" t="n">
        <x:f>B10*'03_Supuestos'!$B$20*'03_Supuestos'!$B$21</x:f>
        <x:v>0</x:v>
      </x:c>
      <x:c r="C17" s="205" t="n">
        <x:f>C10*'03_Supuestos'!$B$20*'03_Supuestos'!$B$21</x:f>
        <x:v>0</x:v>
      </x:c>
      <x:c r="D17" s="205" t="n">
        <x:f>D10*'03_Supuestos'!$B$20*'03_Supuestos'!$B$21</x:f>
        <x:v>0</x:v>
      </x:c>
      <x:c r="E17" s="205" t="n">
        <x:f>E10*'03_Supuestos'!$B$20*'03_Supuestos'!$B$21</x:f>
        <x:v>0</x:v>
      </x:c>
      <x:c r="F17" s="205" t="n">
        <x:f>F10*'03_Supuestos'!$B$20*'03_Supuestos'!$B$21</x:f>
        <x:v>0</x:v>
      </x:c>
      <x:c r="G17" s="205" t="n">
        <x:f>G10*'03_Supuestos'!$B$20*'03_Supuestos'!$B$21</x:f>
        <x:v>0</x:v>
      </x:c>
      <x:c r="H17" s="205" t="n">
        <x:f>H10*'03_Supuestos'!$B$20*'03_Supuestos'!$B$21</x:f>
        <x:v>0</x:v>
      </x:c>
      <x:c r="I17" s="205" t="n">
        <x:f>I10*'03_Supuestos'!$B$20*'03_Supuestos'!$B$21</x:f>
        <x:v>0</x:v>
      </x:c>
      <x:c r="J17" s="205" t="n">
        <x:f>J10*'03_Supuestos'!$B$20*'03_Supuestos'!$B$21</x:f>
        <x:v>0</x:v>
      </x:c>
      <x:c r="K17" s="205" t="n">
        <x:f>K10*'03_Supuestos'!$B$20*'03_Supuestos'!$B$21</x:f>
        <x:v>0</x:v>
      </x:c>
      <x:c r="L17" s="205" t="n">
        <x:f>L10*'03_Supuestos'!$B$20*'03_Supuestos'!$B$21</x:f>
        <x:v>0</x:v>
      </x:c>
      <x:c r="M17" s="205" t="n">
        <x:f>M10*'03_Supuestos'!$B$20*'03_Supuestos'!$B$21</x:f>
        <x:v>0</x:v>
      </x:c>
      <x:c r="N17" s="205" t="n">
        <x:f>SUM(B17:M17)</x:f>
        <x:v>0</x:v>
      </x:c>
    </x:row>
    <x:row r="18">
      <x:c r="A18" s="185" t="str">
        <x:v>Aperturas de cajas</x:v>
      </x:c>
      <x:c r="B18" s="205" t="n">
        <x:f>B17*'03_Supuestos'!$B$22</x:f>
        <x:v>0</x:v>
      </x:c>
      <x:c r="C18" s="205" t="n">
        <x:f>C17*'03_Supuestos'!$B$22</x:f>
        <x:v>0</x:v>
      </x:c>
      <x:c r="D18" s="205" t="n">
        <x:f>D17*'03_Supuestos'!$B$22</x:f>
        <x:v>0</x:v>
      </x:c>
      <x:c r="E18" s="205" t="n">
        <x:f>E17*'03_Supuestos'!$B$22</x:f>
        <x:v>0</x:v>
      </x:c>
      <x:c r="F18" s="205" t="n">
        <x:f>F17*'03_Supuestos'!$B$22</x:f>
        <x:v>0</x:v>
      </x:c>
      <x:c r="G18" s="205" t="n">
        <x:f>G17*'03_Supuestos'!$B$22</x:f>
        <x:v>0</x:v>
      </x:c>
      <x:c r="H18" s="205" t="n">
        <x:f>H17*'03_Supuestos'!$B$22</x:f>
        <x:v>0</x:v>
      </x:c>
      <x:c r="I18" s="205" t="n">
        <x:f>I17*'03_Supuestos'!$B$22</x:f>
        <x:v>0</x:v>
      </x:c>
      <x:c r="J18" s="205" t="n">
        <x:f>J17*'03_Supuestos'!$B$22</x:f>
        <x:v>0</x:v>
      </x:c>
      <x:c r="K18" s="205" t="n">
        <x:f>K17*'03_Supuestos'!$B$22</x:f>
        <x:v>0</x:v>
      </x:c>
      <x:c r="L18" s="205" t="n">
        <x:f>L17*'03_Supuestos'!$B$22</x:f>
        <x:v>0</x:v>
      </x:c>
      <x:c r="M18" s="205" t="n">
        <x:f>M17*'03_Supuestos'!$B$22</x:f>
        <x:v>0</x:v>
      </x:c>
      <x:c r="N18" s="205" t="n">
        <x:f>SUM(B18:M18)</x:f>
        <x:v>0</x:v>
      </x:c>
    </x:row>
    <x:row r="19">
      <x:c r="A19" s="185" t="str">
        <x:v>Ingresos de cajas</x:v>
      </x:c>
      <x:c r="B19" s="206" t="n">
        <x:f>B18*'03_Supuestos'!$B$23</x:f>
        <x:v>0</x:v>
      </x:c>
      <x:c r="C19" s="206" t="n">
        <x:f>C18*'03_Supuestos'!$B$23</x:f>
        <x:v>0</x:v>
      </x:c>
      <x:c r="D19" s="206" t="n">
        <x:f>D18*'03_Supuestos'!$B$23</x:f>
        <x:v>0</x:v>
      </x:c>
      <x:c r="E19" s="206" t="n">
        <x:f>E18*'03_Supuestos'!$B$23</x:f>
        <x:v>0</x:v>
      </x:c>
      <x:c r="F19" s="206" t="n">
        <x:f>F18*'03_Supuestos'!$B$23</x:f>
        <x:v>0</x:v>
      </x:c>
      <x:c r="G19" s="206" t="n">
        <x:f>G18*'03_Supuestos'!$B$23</x:f>
        <x:v>0</x:v>
      </x:c>
      <x:c r="H19" s="206" t="n">
        <x:f>H18*'03_Supuestos'!$B$23</x:f>
        <x:v>0</x:v>
      </x:c>
      <x:c r="I19" s="206" t="n">
        <x:f>I18*'03_Supuestos'!$B$23</x:f>
        <x:v>0</x:v>
      </x:c>
      <x:c r="J19" s="206" t="n">
        <x:f>J18*'03_Supuestos'!$B$23</x:f>
        <x:v>0</x:v>
      </x:c>
      <x:c r="K19" s="206" t="n">
        <x:f>K18*'03_Supuestos'!$B$23</x:f>
        <x:v>0</x:v>
      </x:c>
      <x:c r="L19" s="206" t="n">
        <x:f>L18*'03_Supuestos'!$B$23</x:f>
        <x:v>0</x:v>
      </x:c>
      <x:c r="M19" s="206" t="n">
        <x:f>M18*'03_Supuestos'!$B$23</x:f>
        <x:v>0</x:v>
      </x:c>
      <x:c r="N19" s="206" t="n">
        <x:f>SUM(B19:M19)</x:f>
        <x:v>0</x:v>
      </x:c>
    </x:row>
    <x:row r="20">
      <x:c r="A20" s="207" t="str">
        <x:v>INGRESOS TOTALES</x:v>
      </x:c>
      <x:c r="B20" s="208" t="n">
        <x:f>SUM(B13,B15,B16,B19)</x:f>
        <x:v>1307.2903999999999</x:v>
      </x:c>
      <x:c r="C20" s="208" t="n">
        <x:f>SUM(C13,C15,C16,C19)</x:f>
        <x:v>1445.7972359999999</x:v>
      </x:c>
      <x:c r="D20" s="208" t="n">
        <x:f>SUM(D13,D15,D16,D19)</x:f>
        <x:v>1579.4563327399999</x:v>
      </x:c>
      <x:c r="E20" s="208" t="n">
        <x:f>SUM(E13,E15,E16,E19)</x:f>
        <x:v>1708.4373610940997</x:v>
      </x:c>
      <x:c r="F20" s="208" t="n">
        <x:f>SUM(F13,F15,F16,F19)</x:f>
        <x:v>1832.9040534558062</x:v>
      </x:c>
      <x:c r="G20" s="208" t="n">
        <x:f>SUM(G13,G15,G16,G19)</x:f>
        <x:v>1953.0144115848527</x:v>
      </x:c>
      <x:c r="H20" s="208" t="n">
        <x:f>SUM(H13,H15,H16,H19)</x:f>
        <x:v>2068.920907179383</x:v>
      </x:c>
      <x:c r="I20" s="208" t="n">
        <x:f>SUM(I13,I15,I16,I19)</x:f>
        <x:v>2180.770675428105</x:v>
      </x:c>
      <x:c r="J20" s="208" t="n">
        <x:f>SUM(J13,J15,J16,J19)</x:f>
        <x:v>2288.7057017881207</x:v>
      </x:c>
      <x:c r="K20" s="208" t="n">
        <x:f>SUM(K13,K15,K16,K19)</x:f>
        <x:v>2392.8630022255365</x:v>
      </x:c>
      <x:c r="L20" s="208" t="n">
        <x:f>SUM(L13,L15,L16,L19)</x:f>
        <x:v>2493.3747971476428</x:v>
      </x:c>
      <x:c r="M20" s="208" t="n">
        <x:f>SUM(M13,M15,M16,M19)</x:f>
        <x:v>2590.3686792474755</x:v>
      </x:c>
      <x:c r="N20" s="208" t="n">
        <x:f>SUM(B20:M20)</x:f>
        <x:v>23841.903557891023</x:v>
      </x:c>
    </x:row>
    <x:row r="21">
      <x:c r="A21" s="185" t="str">
        <x:v>Coste de premios por partidas</x:v>
      </x:c>
      <x:c r="B21" s="206" t="n">
        <x:f>B11*'03_Supuestos'!$B$16</x:f>
        <x:v>202.19999999999996</x:v>
      </x:c>
      <x:c r="C21" s="206" t="n">
        <x:f>C11*'03_Supuestos'!$B$16</x:f>
        <x:v>223.623</x:v>
      </x:c>
      <x:c r="D21" s="206" t="n">
        <x:f>D11*'03_Supuestos'!$B$16</x:f>
        <x:v>244.29619499999998</x:v>
      </x:c>
      <x:c r="E21" s="206" t="n">
        <x:f>E11*'03_Supuestos'!$B$16</x:f>
        <x:v>264.24582817499993</x:v>
      </x:c>
      <x:c r="F21" s="206" t="n">
        <x:f>F11*'03_Supuestos'!$B$16</x:f>
        <x:v>283.49722418887495</x:v>
      </x:c>
      <x:c r="G21" s="206" t="n">
        <x:f>G11*'03_Supuestos'!$B$16</x:f>
        <x:v>302.07482134226433</x:v>
      </x:c>
      <x:c r="H21" s="206" t="n">
        <x:f>H11*'03_Supuestos'!$B$16</x:f>
        <x:v>320.00220259528504</x:v>
      </x:c>
      <x:c r="I21" s="206" t="n">
        <x:f>I11*'03_Supuestos'!$B$16</x:f>
        <x:v>337.3021255044501</x:v>
      </x:c>
      <x:c r="J21" s="206" t="n">
        <x:f>J11*'03_Supuestos'!$B$16</x:f>
        <x:v>353.99655111179425</x:v>
      </x:c>
      <x:c r="K21" s="206" t="n">
        <x:f>K11*'03_Supuestos'!$B$16</x:f>
        <x:v>370.1066718228815</x:v>
      </x:c>
      <x:c r="L21" s="206" t="n">
        <x:f>L11*'03_Supuestos'!$B$16</x:f>
        <x:v>385.65293830908064</x:v>
      </x:c>
      <x:c r="M21" s="206" t="n">
        <x:f>M11*'03_Supuestos'!$B$16</x:f>
        <x:v>400.6550854682628</x:v>
      </x:c>
      <x:c r="N21" s="206" t="n">
        <x:f>SUM(B21:M21)</x:f>
        <x:v>3687.6526435178935</x:v>
      </x:c>
    </x:row>
    <x:row r="22">
      <x:c r="A22" s="185" t="str">
        <x:v>Coste de premios de cajas</x:v>
      </x:c>
      <x:c r="B22" s="206" t="n">
        <x:f>B19*'03_Supuestos'!$B$24</x:f>
        <x:v>0</x:v>
      </x:c>
      <x:c r="C22" s="206" t="n">
        <x:f>C19*'03_Supuestos'!$B$24</x:f>
        <x:v>0</x:v>
      </x:c>
      <x:c r="D22" s="206" t="n">
        <x:f>D19*'03_Supuestos'!$B$24</x:f>
        <x:v>0</x:v>
      </x:c>
      <x:c r="E22" s="206" t="n">
        <x:f>E19*'03_Supuestos'!$B$24</x:f>
        <x:v>0</x:v>
      </x:c>
      <x:c r="F22" s="206" t="n">
        <x:f>F19*'03_Supuestos'!$B$24</x:f>
        <x:v>0</x:v>
      </x:c>
      <x:c r="G22" s="206" t="n">
        <x:f>G19*'03_Supuestos'!$B$24</x:f>
        <x:v>0</x:v>
      </x:c>
      <x:c r="H22" s="206" t="n">
        <x:f>H19*'03_Supuestos'!$B$24</x:f>
        <x:v>0</x:v>
      </x:c>
      <x:c r="I22" s="206" t="n">
        <x:f>I19*'03_Supuestos'!$B$24</x:f>
        <x:v>0</x:v>
      </x:c>
      <x:c r="J22" s="206" t="n">
        <x:f>J19*'03_Supuestos'!$B$24</x:f>
        <x:v>0</x:v>
      </x:c>
      <x:c r="K22" s="206" t="n">
        <x:f>K19*'03_Supuestos'!$B$24</x:f>
        <x:v>0</x:v>
      </x:c>
      <x:c r="L22" s="206" t="n">
        <x:f>L19*'03_Supuestos'!$B$24</x:f>
        <x:v>0</x:v>
      </x:c>
      <x:c r="M22" s="206" t="n">
        <x:f>M19*'03_Supuestos'!$B$24</x:f>
        <x:v>0</x:v>
      </x:c>
      <x:c r="N22" s="206" t="n">
        <x:f>SUM(B22:M22)</x:f>
        <x:v>0</x:v>
      </x:c>
    </x:row>
    <x:row r="23">
      <x:c r="A23" s="185" t="str">
        <x:v>Comisiones de pago</x:v>
      </x:c>
      <x:c r="B23" s="206" t="n">
        <x:f>(B15+B19)*'03_Supuestos'!$B$25</x:f>
        <x:v>4.8447119999999995</x:v>
      </x:c>
      <x:c r="C23" s="206" t="n">
        <x:f>(C15+C19)*'03_Supuestos'!$B$25</x:f>
        <x:v>5.358007079999999</x:v>
      </x:c>
      <x:c r="D23" s="206" t="n">
        <x:f>(D15+D19)*'03_Supuestos'!$B$25</x:f>
        <x:v>5.8533368322</x:v>
      </x:c>
      <x:c r="E23" s="206" t="n">
        <x:f>(E15+E19)*'03_Supuestos'!$B$25</x:f>
        <x:v>6.331330043072998</x:v>
      </x:c>
      <x:c r="F23" s="206" t="n">
        <x:f>(F15+F19)*'03_Supuestos'!$B$25</x:f>
        <x:v>6.792593491565443</x:v>
      </x:c>
      <x:c r="G23" s="206" t="n">
        <x:f>(G15+G19)*'03_Supuestos'!$B$25</x:f>
        <x:v>7.237712719360652</x:v>
      </x:c>
      <x:c r="H23" s="206" t="n">
        <x:f>(H15+H19)*'03_Supuestos'!$B$25</x:f>
        <x:v>7.667252774183029</x:v>
      </x:c>
      <x:c r="I23" s="206" t="n">
        <x:f>(I15+I19)*'03_Supuestos'!$B$25</x:f>
        <x:v>8.081758927086625</x:v>
      </x:c>
      <x:c r="J23" s="206" t="n">
        <x:f>(J15+J19)*'03_Supuestos'!$B$25</x:f>
        <x:v>8.48175736463859</x:v>
      </x:c>
      <x:c r="K23" s="206" t="n">
        <x:f>(K15+K19)*'03_Supuestos'!$B$25</x:f>
        <x:v>8.86775585687624</x:v>
      </x:c>
      <x:c r="L23" s="206" t="n">
        <x:f>(L15+L19)*'03_Supuestos'!$B$25</x:f>
        <x:v>9.240244401885573</x:v>
      </x:c>
      <x:c r="M23" s="206" t="n">
        <x:f>(M15+M19)*'03_Supuestos'!$B$25</x:f>
        <x:v>9.599695847819579</x:v>
      </x:c>
      <x:c r="N23" s="206" t="n">
        <x:f>SUM(B23:M23)</x:f>
        <x:v>88.35615733868872</x:v>
      </x:c>
    </x:row>
    <x:row r="24">
      <x:c r="A24" s="185" t="str">
        <x:v>Infraestructura variable</x:v>
      </x:c>
      <x:c r="B24" s="206" t="n">
        <x:f>B10*'03_Supuestos'!$B$27</x:f>
        <x:v>25.611999999999995</x:v>
      </x:c>
      <x:c r="C24" s="206" t="n">
        <x:f>C10*'03_Supuestos'!$B$27</x:f>
        <x:v>28.32558</x:v>
      </x:c>
      <x:c r="D24" s="206" t="n">
        <x:f>D10*'03_Supuestos'!$B$27</x:f>
        <x:v>30.944184699999994</x:v>
      </x:c>
      <x:c r="E24" s="206" t="n">
        <x:f>E10*'03_Supuestos'!$B$27</x:f>
        <x:v>33.47113823549999</x:v>
      </x:c>
      <x:c r="F24" s="206" t="n">
        <x:f>F10*'03_Supuestos'!$B$27</x:f>
        <x:v>35.90964839725749</x:v>
      </x:c>
      <x:c r="G24" s="206" t="n">
        <x:f>G10*'03_Supuestos'!$B$27</x:f>
        <x:v>38.26281070335347</x:v>
      </x:c>
      <x:c r="H24" s="206" t="n">
        <x:f>H10*'03_Supuestos'!$B$27</x:f>
        <x:v>40.533612328736105</x:v>
      </x:c>
      <x:c r="I24" s="206" t="n">
        <x:f>I10*'03_Supuestos'!$B$27</x:f>
        <x:v>42.72493589723034</x:v>
      </x:c>
      <x:c r="J24" s="206" t="n">
        <x:f>J10*'03_Supuestos'!$B$27</x:f>
        <x:v>44.839563140827266</x:v>
      </x:c>
      <x:c r="K24" s="206" t="n">
        <x:f>K10*'03_Supuestos'!$B$27</x:f>
        <x:v>46.88017843089831</x:v>
      </x:c>
      <x:c r="L24" s="206" t="n">
        <x:f>L10*'03_Supuestos'!$B$27</x:f>
        <x:v>48.84937218581688</x:v>
      </x:c>
      <x:c r="M24" s="206" t="n">
        <x:f>M10*'03_Supuestos'!$B$27</x:f>
        <x:v>50.74964415931329</x:v>
      </x:c>
      <x:c r="N24" s="206" t="n">
        <x:f>SUM(B24:M24)</x:f>
        <x:v>467.10266817893313</x:v>
      </x:c>
    </x:row>
    <x:row r="25">
      <x:c r="A25" s="185" t="str">
        <x:v>Soporte variable</x:v>
      </x:c>
      <x:c r="B25" s="206" t="n">
        <x:f>B10*'03_Supuestos'!$B$31</x:f>
        <x:v>12.131999999999998</x:v>
      </x:c>
      <x:c r="C25" s="206" t="n">
        <x:f>C10*'03_Supuestos'!$B$31</x:f>
        <x:v>13.417379999999998</x:v>
      </x:c>
      <x:c r="D25" s="206" t="n">
        <x:f>D10*'03_Supuestos'!$B$31</x:f>
        <x:v>14.657771699999996</x:v>
      </x:c>
      <x:c r="E25" s="206" t="n">
        <x:f>E10*'03_Supuestos'!$B$31</x:f>
        <x:v>15.854749690499995</x:v>
      </x:c>
      <x:c r="F25" s="206" t="n">
        <x:f>F10*'03_Supuestos'!$B$31</x:f>
        <x:v>17.009833451332494</x:v>
      </x:c>
      <x:c r="G25" s="206" t="n">
        <x:f>G10*'03_Supuestos'!$B$31</x:f>
        <x:v>18.124489280535855</x:v>
      </x:c>
      <x:c r="H25" s="206" t="n">
        <x:f>H10*'03_Supuestos'!$B$31</x:f>
        <x:v>19.2001321557171</x:v>
      </x:c>
      <x:c r="I25" s="206" t="n">
        <x:f>I10*'03_Supuestos'!$B$31</x:f>
        <x:v>20.238127530267</x:v>
      </x:c>
      <x:c r="J25" s="206" t="n">
        <x:f>J10*'03_Supuestos'!$B$31</x:f>
        <x:v>21.23979306670765</x:v>
      </x:c>
      <x:c r="K25" s="206" t="n">
        <x:f>K10*'03_Supuestos'!$B$31</x:f>
        <x:v>22.206400309372885</x:v>
      </x:c>
      <x:c r="L25" s="206" t="n">
        <x:f>L10*'03_Supuestos'!$B$31</x:f>
        <x:v>23.139176298544836</x:v>
      </x:c>
      <x:c r="M25" s="206" t="n">
        <x:f>M10*'03_Supuestos'!$B$31</x:f>
        <x:v>24.03930512809577</x:v>
      </x:c>
      <x:c r="N25" s="206" t="n">
        <x:f>SUM(B25:M25)</x:f>
        <x:v>221.2591586110736</x:v>
      </x:c>
    </x:row>
    <x:row r="26">
      <x:c r="A26" s="185" t="str">
        <x:v>Otros costes variables</x:v>
      </x:c>
      <x:c r="B26" s="206" t="n">
        <x:f>B20*'03_Supuestos'!$B$36</x:f>
        <x:v>26.145808</x:v>
      </x:c>
      <x:c r="C26" s="206" t="n">
        <x:f>C20*'03_Supuestos'!$B$36</x:f>
        <x:v>28.91594472</x:v>
      </x:c>
      <x:c r="D26" s="206" t="n">
        <x:f>D20*'03_Supuestos'!$B$36</x:f>
        <x:v>31.589126654799998</x:v>
      </x:c>
      <x:c r="E26" s="206" t="n">
        <x:f>E20*'03_Supuestos'!$B$36</x:f>
        <x:v>34.16874722188199</x:v>
      </x:c>
      <x:c r="F26" s="206" t="n">
        <x:f>F20*'03_Supuestos'!$B$36</x:f>
        <x:v>36.65808106911612</x:v>
      </x:c>
      <x:c r="G26" s="206" t="n">
        <x:f>G20*'03_Supuestos'!$B$36</x:f>
        <x:v>39.06028823169706</x:v>
      </x:c>
      <x:c r="H26" s="206" t="n">
        <x:f>H20*'03_Supuestos'!$B$36</x:f>
        <x:v>41.37841814358766</x:v>
      </x:c>
      <x:c r="I26" s="206" t="n">
        <x:f>I20*'03_Supuestos'!$B$36</x:f>
        <x:v>43.6154135085621</x:v>
      </x:c>
      <x:c r="J26" s="206" t="n">
        <x:f>J20*'03_Supuestos'!$B$36</x:f>
        <x:v>45.774114035762416</x:v>
      </x:c>
      <x:c r="K26" s="206" t="n">
        <x:f>K20*'03_Supuestos'!$B$36</x:f>
        <x:v>47.85726004451073</x:v>
      </x:c>
      <x:c r="L26" s="206" t="n">
        <x:f>L20*'03_Supuestos'!$B$36</x:f>
        <x:v>49.86749594295286</x:v>
      </x:c>
      <x:c r="M26" s="206" t="n">
        <x:f>M20*'03_Supuestos'!$B$36</x:f>
        <x:v>51.80737358494951</x:v>
      </x:c>
      <x:c r="N26" s="206" t="n">
        <x:f>SUM(B26:M26)</x:f>
        <x:v>476.8380711578204</x:v>
      </x:c>
    </x:row>
    <x:row r="27">
      <x:c r="A27" s="207" t="str">
        <x:v>COSTES VARIABLES TOTALES</x:v>
      </x:c>
      <x:c r="B27" s="208" t="n">
        <x:f>SUM(B21:B26)</x:f>
        <x:v>270.93451999999996</x:v>
      </x:c>
      <x:c r="C27" s="208" t="n">
        <x:f>SUM(C21:C26)</x:f>
        <x:v>299.63991179999994</x:v>
      </x:c>
      <x:c r="D27" s="208" t="n">
        <x:f>SUM(D21:D26)</x:f>
        <x:v>327.340614887</x:v>
      </x:c>
      <x:c r="E27" s="208" t="n">
        <x:f>SUM(E21:E26)</x:f>
        <x:v>354.07179336595493</x:v>
      </x:c>
      <x:c r="F27" s="208" t="n">
        <x:f>SUM(F21:F26)</x:f>
        <x:v>379.86738059814655</x:v>
      </x:c>
      <x:c r="G27" s="208" t="n">
        <x:f>SUM(G21:G26)</x:f>
        <x:v>404.7601222772114</x:v>
      </x:c>
      <x:c r="H27" s="208" t="n">
        <x:f>SUM(H21:H26)</x:f>
        <x:v>428.781617997509</x:v>
      </x:c>
      <x:c r="I27" s="208" t="n">
        <x:f>SUM(I21:I26)</x:f>
        <x:v>451.96236136759615</x:v>
      </x:c>
      <x:c r="J27" s="208" t="n">
        <x:f>SUM(J21:J26)</x:f>
        <x:v>474.3317787197302</x:v>
      </x:c>
      <x:c r="K27" s="208" t="n">
        <x:f>SUM(K21:K26)</x:f>
        <x:v>495.9182664645396</x:v>
      </x:c>
      <x:c r="L27" s="208" t="n">
        <x:f>SUM(L21:L26)</x:f>
        <x:v>516.7492271382807</x:v>
      </x:c>
      <x:c r="M27" s="208" t="n">
        <x:f>SUM(M21:M26)</x:f>
        <x:v>536.8511041884409</x:v>
      </x:c>
      <x:c r="N27" s="208" t="n">
        <x:f>SUM(B27:M27)</x:f>
        <x:v>4941.20869880441</x:v>
      </x:c>
    </x:row>
    <x:row r="28">
      <x:c r="A28" s="209" t="str">
        <x:v>MARGEN DE CONTRIBUCIÓN</x:v>
      </x:c>
      <x:c r="B28" s="210" t="n">
        <x:f>B20-B27</x:f>
        <x:v>1036.3558799999998</x:v>
      </x:c>
      <x:c r="C28" s="210" t="n">
        <x:f>C20-C27</x:f>
        <x:v>1146.1573242</x:v>
      </x:c>
      <x:c r="D28" s="210" t="n">
        <x:f>D20-D27</x:f>
        <x:v>1252.1157178529998</x:v>
      </x:c>
      <x:c r="E28" s="210" t="n">
        <x:f>E20-E27</x:f>
        <x:v>1354.365567728145</x:v>
      </x:c>
      <x:c r="F28" s="210" t="n">
        <x:f>F20-F27</x:f>
        <x:v>1453.0366728576596</x:v>
      </x:c>
      <x:c r="G28" s="210" t="n">
        <x:f>G20-G27</x:f>
        <x:v>1548.2542893076413</x:v>
      </x:c>
      <x:c r="H28" s="210" t="n">
        <x:f>H20-H27</x:f>
        <x:v>1640.1392891818741</x:v>
      </x:c>
      <x:c r="I28" s="210" t="n">
        <x:f>I20-I27</x:f>
        <x:v>1728.8083140605086</x:v>
      </x:c>
      <x:c r="J28" s="210" t="n">
        <x:f>J20-J27</x:f>
        <x:v>1814.3739230683905</x:v>
      </x:c>
      <x:c r="K28" s="210" t="n">
        <x:f>K20-K27</x:f>
        <x:v>1896.944735760997</x:v>
      </x:c>
      <x:c r="L28" s="210" t="n">
        <x:f>L20-L27</x:f>
        <x:v>1976.625570009362</x:v>
      </x:c>
      <x:c r="M28" s="210" t="n">
        <x:f>M20-M27</x:f>
        <x:v>2053.5175750590347</x:v>
      </x:c>
      <x:c r="N28" s="210" t="n">
        <x:f>SUM(B28:M28)</x:f>
        <x:v>18900.69485908661</x:v>
      </x:c>
    </x:row>
    <x:row r="29">
      <x:c r="A29" s="185" t="str">
        <x:v>Servidor base</x:v>
      </x:c>
      <x:c r="B29" s="199" t="n">
        <x:f>'03_Supuestos'!$B$26</x:f>
        <x:v>260</x:v>
      </x:c>
      <x:c r="C29" s="199" t="n">
        <x:f>'03_Supuestos'!$B$26</x:f>
        <x:v>260</x:v>
      </x:c>
      <x:c r="D29" s="199" t="n">
        <x:f>'03_Supuestos'!$B$26</x:f>
        <x:v>260</x:v>
      </x:c>
      <x:c r="E29" s="199" t="n">
        <x:f>'03_Supuestos'!$B$26</x:f>
        <x:v>260</x:v>
      </x:c>
      <x:c r="F29" s="199" t="n">
        <x:f>'03_Supuestos'!$B$26</x:f>
        <x:v>260</x:v>
      </x:c>
      <x:c r="G29" s="199" t="n">
        <x:f>'03_Supuestos'!$B$26</x:f>
        <x:v>260</x:v>
      </x:c>
      <x:c r="H29" s="199" t="n">
        <x:f>'03_Supuestos'!$B$26</x:f>
        <x:v>260</x:v>
      </x:c>
      <x:c r="I29" s="199" t="n">
        <x:f>'03_Supuestos'!$B$26</x:f>
        <x:v>260</x:v>
      </x:c>
      <x:c r="J29" s="199" t="n">
        <x:f>'03_Supuestos'!$B$26</x:f>
        <x:v>260</x:v>
      </x:c>
      <x:c r="K29" s="199" t="n">
        <x:f>'03_Supuestos'!$B$26</x:f>
        <x:v>260</x:v>
      </x:c>
      <x:c r="L29" s="199" t="n">
        <x:f>'03_Supuestos'!$B$26</x:f>
        <x:v>260</x:v>
      </x:c>
      <x:c r="M29" s="199" t="n">
        <x:f>'03_Supuestos'!$B$26</x:f>
        <x:v>260</x:v>
      </x:c>
      <x:c r="N29" s="206" t="n">
        <x:f>SUM(B29:M29)</x:f>
        <x:v>3120</x:v>
      </x:c>
    </x:row>
    <x:row r="30">
      <x:c r="A30" s="185" t="str">
        <x:v>Desarrollo y mantenimiento</x:v>
      </x:c>
      <x:c r="B30" s="199" t="n">
        <x:f>'03_Supuestos'!$B$28</x:f>
        <x:v>1200</x:v>
      </x:c>
      <x:c r="C30" s="199" t="n">
        <x:f>'03_Supuestos'!$B$28</x:f>
        <x:v>1200</x:v>
      </x:c>
      <x:c r="D30" s="199" t="n">
        <x:f>'03_Supuestos'!$B$28</x:f>
        <x:v>1200</x:v>
      </x:c>
      <x:c r="E30" s="199" t="n">
        <x:f>'03_Supuestos'!$B$28</x:f>
        <x:v>1200</x:v>
      </x:c>
      <x:c r="F30" s="199" t="n">
        <x:f>'03_Supuestos'!$B$28</x:f>
        <x:v>1200</x:v>
      </x:c>
      <x:c r="G30" s="199" t="n">
        <x:f>'03_Supuestos'!$B$28</x:f>
        <x:v>1200</x:v>
      </x:c>
      <x:c r="H30" s="199" t="n">
        <x:f>'03_Supuestos'!$B$28</x:f>
        <x:v>1200</x:v>
      </x:c>
      <x:c r="I30" s="199" t="n">
        <x:f>'03_Supuestos'!$B$28</x:f>
        <x:v>1200</x:v>
      </x:c>
      <x:c r="J30" s="199" t="n">
        <x:f>'03_Supuestos'!$B$28</x:f>
        <x:v>1200</x:v>
      </x:c>
      <x:c r="K30" s="199" t="n">
        <x:f>'03_Supuestos'!$B$28</x:f>
        <x:v>1200</x:v>
      </x:c>
      <x:c r="L30" s="199" t="n">
        <x:f>'03_Supuestos'!$B$28</x:f>
        <x:v>1200</x:v>
      </x:c>
      <x:c r="M30" s="199" t="n">
        <x:f>'03_Supuestos'!$B$28</x:f>
        <x:v>1200</x:v>
      </x:c>
      <x:c r="N30" s="206" t="n">
        <x:f>SUM(B30:M30)</x:f>
        <x:v>14400</x:v>
      </x:c>
    </x:row>
    <x:row r="31">
      <x:c r="A31" s="185" t="str">
        <x:v>Software y monitorización</x:v>
      </x:c>
      <x:c r="B31" s="199" t="n">
        <x:f>'03_Supuestos'!$B$29</x:f>
        <x:v>220</x:v>
      </x:c>
      <x:c r="C31" s="199" t="n">
        <x:f>'03_Supuestos'!$B$29</x:f>
        <x:v>220</x:v>
      </x:c>
      <x:c r="D31" s="199" t="n">
        <x:f>'03_Supuestos'!$B$29</x:f>
        <x:v>220</x:v>
      </x:c>
      <x:c r="E31" s="199" t="n">
        <x:f>'03_Supuestos'!$B$29</x:f>
        <x:v>220</x:v>
      </x:c>
      <x:c r="F31" s="199" t="n">
        <x:f>'03_Supuestos'!$B$29</x:f>
        <x:v>220</x:v>
      </x:c>
      <x:c r="G31" s="199" t="n">
        <x:f>'03_Supuestos'!$B$29</x:f>
        <x:v>220</x:v>
      </x:c>
      <x:c r="H31" s="199" t="n">
        <x:f>'03_Supuestos'!$B$29</x:f>
        <x:v>220</x:v>
      </x:c>
      <x:c r="I31" s="199" t="n">
        <x:f>'03_Supuestos'!$B$29</x:f>
        <x:v>220</x:v>
      </x:c>
      <x:c r="J31" s="199" t="n">
        <x:f>'03_Supuestos'!$B$29</x:f>
        <x:v>220</x:v>
      </x:c>
      <x:c r="K31" s="199" t="n">
        <x:f>'03_Supuestos'!$B$29</x:f>
        <x:v>220</x:v>
      </x:c>
      <x:c r="L31" s="199" t="n">
        <x:f>'03_Supuestos'!$B$29</x:f>
        <x:v>220</x:v>
      </x:c>
      <x:c r="M31" s="199" t="n">
        <x:f>'03_Supuestos'!$B$29</x:f>
        <x:v>220</x:v>
      </x:c>
      <x:c r="N31" s="206" t="n">
        <x:f>SUM(B31:M31)</x:f>
        <x:v>2640</x:v>
      </x:c>
    </x:row>
    <x:row r="32">
      <x:c r="A32" s="185" t="str">
        <x:v>Soporte y administración fijo</x:v>
      </x:c>
      <x:c r="B32" s="199" t="n">
        <x:f>'03_Supuestos'!$B$30</x:f>
        <x:v>350</x:v>
      </x:c>
      <x:c r="C32" s="199" t="n">
        <x:f>'03_Supuestos'!$B$30</x:f>
        <x:v>350</x:v>
      </x:c>
      <x:c r="D32" s="199" t="n">
        <x:f>'03_Supuestos'!$B$30</x:f>
        <x:v>350</x:v>
      </x:c>
      <x:c r="E32" s="199" t="n">
        <x:f>'03_Supuestos'!$B$30</x:f>
        <x:v>350</x:v>
      </x:c>
      <x:c r="F32" s="199" t="n">
        <x:f>'03_Supuestos'!$B$30</x:f>
        <x:v>350</x:v>
      </x:c>
      <x:c r="G32" s="199" t="n">
        <x:f>'03_Supuestos'!$B$30</x:f>
        <x:v>350</x:v>
      </x:c>
      <x:c r="H32" s="199" t="n">
        <x:f>'03_Supuestos'!$B$30</x:f>
        <x:v>350</x:v>
      </x:c>
      <x:c r="I32" s="199" t="n">
        <x:f>'03_Supuestos'!$B$30</x:f>
        <x:v>350</x:v>
      </x:c>
      <x:c r="J32" s="199" t="n">
        <x:f>'03_Supuestos'!$B$30</x:f>
        <x:v>350</x:v>
      </x:c>
      <x:c r="K32" s="199" t="n">
        <x:f>'03_Supuestos'!$B$30</x:f>
        <x:v>350</x:v>
      </x:c>
      <x:c r="L32" s="199" t="n">
        <x:f>'03_Supuestos'!$B$30</x:f>
        <x:v>350</x:v>
      </x:c>
      <x:c r="M32" s="199" t="n">
        <x:f>'03_Supuestos'!$B$30</x:f>
        <x:v>350</x:v>
      </x:c>
      <x:c r="N32" s="206" t="n">
        <x:f>SUM(B32:M32)</x:f>
        <x:v>4200</x:v>
      </x:c>
    </x:row>
    <x:row r="33">
      <x:c r="A33" s="185" t="str">
        <x:v>Marketing</x:v>
      </x:c>
      <x:c r="B33" s="199" t="n">
        <x:f>'03_Supuestos'!$B$10</x:f>
        <x:v>1000</x:v>
      </x:c>
      <x:c r="C33" s="199" t="n">
        <x:f>'03_Supuestos'!$B$10</x:f>
        <x:v>1000</x:v>
      </x:c>
      <x:c r="D33" s="199" t="n">
        <x:f>'03_Supuestos'!$B$10</x:f>
        <x:v>1000</x:v>
      </x:c>
      <x:c r="E33" s="199" t="n">
        <x:f>'03_Supuestos'!$B$10</x:f>
        <x:v>1000</x:v>
      </x:c>
      <x:c r="F33" s="199" t="n">
        <x:f>'03_Supuestos'!$B$10</x:f>
        <x:v>1000</x:v>
      </x:c>
      <x:c r="G33" s="199" t="n">
        <x:f>'03_Supuestos'!$B$10</x:f>
        <x:v>1000</x:v>
      </x:c>
      <x:c r="H33" s="199" t="n">
        <x:f>'03_Supuestos'!$B$10</x:f>
        <x:v>1000</x:v>
      </x:c>
      <x:c r="I33" s="199" t="n">
        <x:f>'03_Supuestos'!$B$10</x:f>
        <x:v>1000</x:v>
      </x:c>
      <x:c r="J33" s="199" t="n">
        <x:f>'03_Supuestos'!$B$10</x:f>
        <x:v>1000</x:v>
      </x:c>
      <x:c r="K33" s="199" t="n">
        <x:f>'03_Supuestos'!$B$10</x:f>
        <x:v>1000</x:v>
      </x:c>
      <x:c r="L33" s="199" t="n">
        <x:f>'03_Supuestos'!$B$10</x:f>
        <x:v>1000</x:v>
      </x:c>
      <x:c r="M33" s="199" t="n">
        <x:f>'03_Supuestos'!$B$10</x:f>
        <x:v>1000</x:v>
      </x:c>
      <x:c r="N33" s="206" t="n">
        <x:f>SUM(B33:M33)</x:f>
        <x:v>12000</x:v>
      </x:c>
    </x:row>
    <x:row r="34">
      <x:c r="A34" s="185" t="str">
        <x:v>Dominio prorrateado</x:v>
      </x:c>
      <x:c r="B34" s="199" t="n">
        <x:f>'03_Supuestos'!$B$32/12</x:f>
        <x:v>1.6666666666666667</x:v>
      </x:c>
      <x:c r="C34" s="199" t="n">
        <x:f>'03_Supuestos'!$B$32/12</x:f>
        <x:v>1.6666666666666667</x:v>
      </x:c>
      <x:c r="D34" s="199" t="n">
        <x:f>'03_Supuestos'!$B$32/12</x:f>
        <x:v>1.6666666666666667</x:v>
      </x:c>
      <x:c r="E34" s="199" t="n">
        <x:f>'03_Supuestos'!$B$32/12</x:f>
        <x:v>1.6666666666666667</x:v>
      </x:c>
      <x:c r="F34" s="199" t="n">
        <x:f>'03_Supuestos'!$B$32/12</x:f>
        <x:v>1.6666666666666667</x:v>
      </x:c>
      <x:c r="G34" s="199" t="n">
        <x:f>'03_Supuestos'!$B$32/12</x:f>
        <x:v>1.6666666666666667</x:v>
      </x:c>
      <x:c r="H34" s="199" t="n">
        <x:f>'03_Supuestos'!$B$32/12</x:f>
        <x:v>1.6666666666666667</x:v>
      </x:c>
      <x:c r="I34" s="199" t="n">
        <x:f>'03_Supuestos'!$B$32/12</x:f>
        <x:v>1.6666666666666667</x:v>
      </x:c>
      <x:c r="J34" s="199" t="n">
        <x:f>'03_Supuestos'!$B$32/12</x:f>
        <x:v>1.6666666666666667</x:v>
      </x:c>
      <x:c r="K34" s="199" t="n">
        <x:f>'03_Supuestos'!$B$32/12</x:f>
        <x:v>1.6666666666666667</x:v>
      </x:c>
      <x:c r="L34" s="199" t="n">
        <x:f>'03_Supuestos'!$B$32/12</x:f>
        <x:v>1.6666666666666667</x:v>
      </x:c>
      <x:c r="M34" s="199" t="n">
        <x:f>'03_Supuestos'!$B$32/12</x:f>
        <x:v>1.6666666666666667</x:v>
      </x:c>
      <x:c r="N34" s="206" t="n">
        <x:f>SUM(B34:M34)</x:f>
        <x:v>20</x:v>
      </x:c>
    </x:row>
    <x:row r="35">
      <x:c r="A35" s="185" t="str">
        <x:v>Legal y cumplimiento prorrateado</x:v>
      </x:c>
      <x:c r="B35" s="199" t="n">
        <x:f>'03_Supuestos'!$B$33/12</x:f>
        <x:v>583.3333333333334</x:v>
      </x:c>
      <x:c r="C35" s="199" t="n">
        <x:f>'03_Supuestos'!$B$33/12</x:f>
        <x:v>583.3333333333334</x:v>
      </x:c>
      <x:c r="D35" s="199" t="n">
        <x:f>'03_Supuestos'!$B$33/12</x:f>
        <x:v>583.3333333333334</x:v>
      </x:c>
      <x:c r="E35" s="199" t="n">
        <x:f>'03_Supuestos'!$B$33/12</x:f>
        <x:v>583.3333333333334</x:v>
      </x:c>
      <x:c r="F35" s="199" t="n">
        <x:f>'03_Supuestos'!$B$33/12</x:f>
        <x:v>583.3333333333334</x:v>
      </x:c>
      <x:c r="G35" s="199" t="n">
        <x:f>'03_Supuestos'!$B$33/12</x:f>
        <x:v>583.3333333333334</x:v>
      </x:c>
      <x:c r="H35" s="199" t="n">
        <x:f>'03_Supuestos'!$B$33/12</x:f>
        <x:v>583.3333333333334</x:v>
      </x:c>
      <x:c r="I35" s="199" t="n">
        <x:f>'03_Supuestos'!$B$33/12</x:f>
        <x:v>583.3333333333334</x:v>
      </x:c>
      <x:c r="J35" s="199" t="n">
        <x:f>'03_Supuestos'!$B$33/12</x:f>
        <x:v>583.3333333333334</x:v>
      </x:c>
      <x:c r="K35" s="199" t="n">
        <x:f>'03_Supuestos'!$B$33/12</x:f>
        <x:v>583.3333333333334</x:v>
      </x:c>
      <x:c r="L35" s="199" t="n">
        <x:f>'03_Supuestos'!$B$33/12</x:f>
        <x:v>583.3333333333334</x:v>
      </x:c>
      <x:c r="M35" s="199" t="n">
        <x:f>'03_Supuestos'!$B$33/12</x:f>
        <x:v>583.3333333333334</x:v>
      </x:c>
      <x:c r="N35" s="206" t="n">
        <x:f>SUM(B35:M35)</x:f>
        <x:v>6999.999999999999</x:v>
      </x:c>
    </x:row>
    <x:row r="36">
      <x:c r="A36" s="185" t="str">
        <x:v>Contabilidad y seguros prorrateado</x:v>
      </x:c>
      <x:c r="B36" s="199" t="n">
        <x:f>'03_Supuestos'!$B$34/12</x:f>
        <x:v>150</x:v>
      </x:c>
      <x:c r="C36" s="199" t="n">
        <x:f>'03_Supuestos'!$B$34/12</x:f>
        <x:v>150</x:v>
      </x:c>
      <x:c r="D36" s="199" t="n">
        <x:f>'03_Supuestos'!$B$34/12</x:f>
        <x:v>150</x:v>
      </x:c>
      <x:c r="E36" s="199" t="n">
        <x:f>'03_Supuestos'!$B$34/12</x:f>
        <x:v>150</x:v>
      </x:c>
      <x:c r="F36" s="199" t="n">
        <x:f>'03_Supuestos'!$B$34/12</x:f>
        <x:v>150</x:v>
      </x:c>
      <x:c r="G36" s="199" t="n">
        <x:f>'03_Supuestos'!$B$34/12</x:f>
        <x:v>150</x:v>
      </x:c>
      <x:c r="H36" s="199" t="n">
        <x:f>'03_Supuestos'!$B$34/12</x:f>
        <x:v>150</x:v>
      </x:c>
      <x:c r="I36" s="199" t="n">
        <x:f>'03_Supuestos'!$B$34/12</x:f>
        <x:v>150</x:v>
      </x:c>
      <x:c r="J36" s="199" t="n">
        <x:f>'03_Supuestos'!$B$34/12</x:f>
        <x:v>150</x:v>
      </x:c>
      <x:c r="K36" s="199" t="n">
        <x:f>'03_Supuestos'!$B$34/12</x:f>
        <x:v>150</x:v>
      </x:c>
      <x:c r="L36" s="199" t="n">
        <x:f>'03_Supuestos'!$B$34/12</x:f>
        <x:v>150</x:v>
      </x:c>
      <x:c r="M36" s="199" t="n">
        <x:f>'03_Supuestos'!$B$34/12</x:f>
        <x:v>150</x:v>
      </x:c>
      <x:c r="N36" s="206" t="n">
        <x:f>SUM(B36:M36)</x:f>
        <x:v>1800</x:v>
      </x:c>
    </x:row>
    <x:row r="37">
      <x:c r="A37" s="185" t="str">
        <x:v>Otros costes fijos</x:v>
      </x:c>
      <x:c r="B37" s="199" t="n">
        <x:f>'03_Supuestos'!$B$35</x:f>
        <x:v>220</x:v>
      </x:c>
      <x:c r="C37" s="199" t="n">
        <x:f>'03_Supuestos'!$B$35</x:f>
        <x:v>220</x:v>
      </x:c>
      <x:c r="D37" s="199" t="n">
        <x:f>'03_Supuestos'!$B$35</x:f>
        <x:v>220</x:v>
      </x:c>
      <x:c r="E37" s="199" t="n">
        <x:f>'03_Supuestos'!$B$35</x:f>
        <x:v>220</x:v>
      </x:c>
      <x:c r="F37" s="199" t="n">
        <x:f>'03_Supuestos'!$B$35</x:f>
        <x:v>220</x:v>
      </x:c>
      <x:c r="G37" s="199" t="n">
        <x:f>'03_Supuestos'!$B$35</x:f>
        <x:v>220</x:v>
      </x:c>
      <x:c r="H37" s="199" t="n">
        <x:f>'03_Supuestos'!$B$35</x:f>
        <x:v>220</x:v>
      </x:c>
      <x:c r="I37" s="199" t="n">
        <x:f>'03_Supuestos'!$B$35</x:f>
        <x:v>220</x:v>
      </x:c>
      <x:c r="J37" s="199" t="n">
        <x:f>'03_Supuestos'!$B$35</x:f>
        <x:v>220</x:v>
      </x:c>
      <x:c r="K37" s="199" t="n">
        <x:f>'03_Supuestos'!$B$35</x:f>
        <x:v>220</x:v>
      </x:c>
      <x:c r="L37" s="199" t="n">
        <x:f>'03_Supuestos'!$B$35</x:f>
        <x:v>220</x:v>
      </x:c>
      <x:c r="M37" s="199" t="n">
        <x:f>'03_Supuestos'!$B$35</x:f>
        <x:v>220</x:v>
      </x:c>
      <x:c r="N37" s="206" t="n">
        <x:f>SUM(B37:M37)</x:f>
        <x:v>2640</x:v>
      </x:c>
    </x:row>
    <x:row r="38">
      <x:c r="A38" s="207" t="str">
        <x:v>COSTES FIJOS TOTALES</x:v>
      </x:c>
      <x:c r="B38" s="208" t="n">
        <x:f>SUM(B29:B37)</x:f>
        <x:v>3985</x:v>
      </x:c>
      <x:c r="C38" s="208" t="n">
        <x:f>SUM(C29:C37)</x:f>
        <x:v>3985</x:v>
      </x:c>
      <x:c r="D38" s="208" t="n">
        <x:f>SUM(D29:D37)</x:f>
        <x:v>3985</x:v>
      </x:c>
      <x:c r="E38" s="208" t="n">
        <x:f>SUM(E29:E37)</x:f>
        <x:v>3985</x:v>
      </x:c>
      <x:c r="F38" s="208" t="n">
        <x:f>SUM(F29:F37)</x:f>
        <x:v>3985</x:v>
      </x:c>
      <x:c r="G38" s="208" t="n">
        <x:f>SUM(G29:G37)</x:f>
        <x:v>3985</x:v>
      </x:c>
      <x:c r="H38" s="208" t="n">
        <x:f>SUM(H29:H37)</x:f>
        <x:v>3985</x:v>
      </x:c>
      <x:c r="I38" s="208" t="n">
        <x:f>SUM(I29:I37)</x:f>
        <x:v>3985</x:v>
      </x:c>
      <x:c r="J38" s="208" t="n">
        <x:f>SUM(J29:J37)</x:f>
        <x:v>3985</x:v>
      </x:c>
      <x:c r="K38" s="208" t="n">
        <x:f>SUM(K29:K37)</x:f>
        <x:v>3985</x:v>
      </x:c>
      <x:c r="L38" s="208" t="n">
        <x:f>SUM(L29:L37)</x:f>
        <x:v>3985</x:v>
      </x:c>
      <x:c r="M38" s="208" t="n">
        <x:f>SUM(M29:M37)</x:f>
        <x:v>3985</x:v>
      </x:c>
      <x:c r="N38" s="208" t="n">
        <x:f>SUM(B38:M38)</x:f>
        <x:v>47820</x:v>
      </x:c>
    </x:row>
    <x:row r="39">
      <x:c r="A39" s="209" t="str">
        <x:v>BENEFICIO OPERATIVO ANTES DE IMPUESTOS</x:v>
      </x:c>
      <x:c r="B39" s="210" t="n">
        <x:f>B28-B38</x:f>
        <x:v>-2948.64412</x:v>
      </x:c>
      <x:c r="C39" s="210" t="n">
        <x:f>C28-C38</x:f>
        <x:v>-2838.8426758</x:v>
      </x:c>
      <x:c r="D39" s="210" t="n">
        <x:f>D28-D38</x:f>
        <x:v>-2732.8842821470002</x:v>
      </x:c>
      <x:c r="E39" s="210" t="n">
        <x:f>E28-E38</x:f>
        <x:v>-2630.634432271855</x:v>
      </x:c>
      <x:c r="F39" s="210" t="n">
        <x:f>F28-F38</x:f>
        <x:v>-2531.9633271423404</x:v>
      </x:c>
      <x:c r="G39" s="210" t="n">
        <x:f>G28-G38</x:f>
        <x:v>-2436.7457106923584</x:v>
      </x:c>
      <x:c r="H39" s="210" t="n">
        <x:f>H28-H38</x:f>
        <x:v>-2344.860710818126</x:v>
      </x:c>
      <x:c r="I39" s="210" t="n">
        <x:f>I28-I38</x:f>
        <x:v>-2256.1916859394914</x:v>
      </x:c>
      <x:c r="J39" s="210" t="n">
        <x:f>J28-J38</x:f>
        <x:v>-2170.6260769316095</x:v>
      </x:c>
      <x:c r="K39" s="210" t="n">
        <x:f>K28-K38</x:f>
        <x:v>-2088.055264239003</x:v>
      </x:c>
      <x:c r="L39" s="210" t="n">
        <x:f>L28-L38</x:f>
        <x:v>-2008.374429990638</x:v>
      </x:c>
      <x:c r="M39" s="210" t="n">
        <x:f>M28-M38</x:f>
        <x:v>-1931.4824249409653</x:v>
      </x:c>
      <x:c r="N39" s="210" t="n">
        <x:f>SUM(B39:M39)</x:f>
        <x:v>-28919.305140913388</x:v>
      </x:c>
    </x:row>
    <x:row r="40">
      <x:c r="A40" s="185" t="str">
        <x:v>Impuestos estimados</x:v>
      </x:c>
      <x:c r="B40" s="206" t="n">
        <x:f>MAX(0,B39*'03_Supuestos'!$B$41)</x:f>
        <x:v>0</x:v>
      </x:c>
      <x:c r="C40" s="206" t="n">
        <x:f>MAX(0,C39*'03_Supuestos'!$B$41)</x:f>
        <x:v>0</x:v>
      </x:c>
      <x:c r="D40" s="206" t="n">
        <x:f>MAX(0,D39*'03_Supuestos'!$B$41)</x:f>
        <x:v>0</x:v>
      </x:c>
      <x:c r="E40" s="206" t="n">
        <x:f>MAX(0,E39*'03_Supuestos'!$B$41)</x:f>
        <x:v>0</x:v>
      </x:c>
      <x:c r="F40" s="206" t="n">
        <x:f>MAX(0,F39*'03_Supuestos'!$B$41)</x:f>
        <x:v>0</x:v>
      </x:c>
      <x:c r="G40" s="206" t="n">
        <x:f>MAX(0,G39*'03_Supuestos'!$B$41)</x:f>
        <x:v>0</x:v>
      </x:c>
      <x:c r="H40" s="206" t="n">
        <x:f>MAX(0,H39*'03_Supuestos'!$B$41)</x:f>
        <x:v>0</x:v>
      </x:c>
      <x:c r="I40" s="206" t="n">
        <x:f>MAX(0,I39*'03_Supuestos'!$B$41)</x:f>
        <x:v>0</x:v>
      </x:c>
      <x:c r="J40" s="206" t="n">
        <x:f>MAX(0,J39*'03_Supuestos'!$B$41)</x:f>
        <x:v>0</x:v>
      </x:c>
      <x:c r="K40" s="206" t="n">
        <x:f>MAX(0,K39*'03_Supuestos'!$B$41)</x:f>
        <x:v>0</x:v>
      </x:c>
      <x:c r="L40" s="206" t="n">
        <x:f>MAX(0,L39*'03_Supuestos'!$B$41)</x:f>
        <x:v>0</x:v>
      </x:c>
      <x:c r="M40" s="206" t="n">
        <x:f>MAX(0,M39*'03_Supuestos'!$B$41)</x:f>
        <x:v>0</x:v>
      </x:c>
      <x:c r="N40" s="206" t="n">
        <x:f>SUM(B40:M40)</x:f>
        <x:v>0</x:v>
      </x:c>
    </x:row>
    <x:row r="41">
      <x:c r="A41" s="209" t="str">
        <x:v>BENEFICIO NETO</x:v>
      </x:c>
      <x:c r="B41" s="210" t="n">
        <x:f>B39-B40</x:f>
        <x:v>-2948.64412</x:v>
      </x:c>
      <x:c r="C41" s="210" t="n">
        <x:f>C39-C40</x:f>
        <x:v>-2838.8426758</x:v>
      </x:c>
      <x:c r="D41" s="210" t="n">
        <x:f>D39-D40</x:f>
        <x:v>-2732.8842821470002</x:v>
      </x:c>
      <x:c r="E41" s="210" t="n">
        <x:f>E39-E40</x:f>
        <x:v>-2630.634432271855</x:v>
      </x:c>
      <x:c r="F41" s="210" t="n">
        <x:f>F39-F40</x:f>
        <x:v>-2531.9633271423404</x:v>
      </x:c>
      <x:c r="G41" s="210" t="n">
        <x:f>G39-G40</x:f>
        <x:v>-2436.7457106923584</x:v>
      </x:c>
      <x:c r="H41" s="210" t="n">
        <x:f>H39-H40</x:f>
        <x:v>-2344.860710818126</x:v>
      </x:c>
      <x:c r="I41" s="210" t="n">
        <x:f>I39-I40</x:f>
        <x:v>-2256.1916859394914</x:v>
      </x:c>
      <x:c r="J41" s="210" t="n">
        <x:f>J39-J40</x:f>
        <x:v>-2170.6260769316095</x:v>
      </x:c>
      <x:c r="K41" s="210" t="n">
        <x:f>K39-K40</x:f>
        <x:v>-2088.055264239003</x:v>
      </x:c>
      <x:c r="L41" s="210" t="n">
        <x:f>L39-L40</x:f>
        <x:v>-2008.374429990638</x:v>
      </x:c>
      <x:c r="M41" s="210" t="n">
        <x:f>M39-M40</x:f>
        <x:v>-1931.4824249409653</x:v>
      </x:c>
      <x:c r="N41" s="210" t="n">
        <x:f>SUM(B41:M41)</x:f>
        <x:v>-28919.305140913388</x:v>
      </x:c>
    </x:row>
    <x:row r="42">
      <x:c r="A42" s="185" t="str">
        <x:v>Inversión inicial</x:v>
      </x:c>
      <x:c r="B42" s="206" t="n">
        <x:f>IF(COLUMN()=2,'03_Supuestos'!$B$37+'03_Supuestos'!$B$38,0)</x:f>
        <x:v>46500</x:v>
      </x:c>
      <x:c r="C42" s="206" t="n">
        <x:f>IF(COLUMN()=2,'03_Supuestos'!$B$37+'03_Supuestos'!$B$38,0)</x:f>
        <x:v>0</x:v>
      </x:c>
      <x:c r="D42" s="206" t="n">
        <x:f>IF(COLUMN()=2,'03_Supuestos'!$B$37+'03_Supuestos'!$B$38,0)</x:f>
        <x:v>0</x:v>
      </x:c>
      <x:c r="E42" s="206" t="n">
        <x:f>IF(COLUMN()=2,'03_Supuestos'!$B$37+'03_Supuestos'!$B$38,0)</x:f>
        <x:v>0</x:v>
      </x:c>
      <x:c r="F42" s="206" t="n">
        <x:f>IF(COLUMN()=2,'03_Supuestos'!$B$37+'03_Supuestos'!$B$38,0)</x:f>
        <x:v>0</x:v>
      </x:c>
      <x:c r="G42" s="206" t="n">
        <x:f>IF(COLUMN()=2,'03_Supuestos'!$B$37+'03_Supuestos'!$B$38,0)</x:f>
        <x:v>0</x:v>
      </x:c>
      <x:c r="H42" s="206" t="n">
        <x:f>IF(COLUMN()=2,'03_Supuestos'!$B$37+'03_Supuestos'!$B$38,0)</x:f>
        <x:v>0</x:v>
      </x:c>
      <x:c r="I42" s="206" t="n">
        <x:f>IF(COLUMN()=2,'03_Supuestos'!$B$37+'03_Supuestos'!$B$38,0)</x:f>
        <x:v>0</x:v>
      </x:c>
      <x:c r="J42" s="206" t="n">
        <x:f>IF(COLUMN()=2,'03_Supuestos'!$B$37+'03_Supuestos'!$B$38,0)</x:f>
        <x:v>0</x:v>
      </x:c>
      <x:c r="K42" s="206" t="n">
        <x:f>IF(COLUMN()=2,'03_Supuestos'!$B$37+'03_Supuestos'!$B$38,0)</x:f>
        <x:v>0</x:v>
      </x:c>
      <x:c r="L42" s="206" t="n">
        <x:f>IF(COLUMN()=2,'03_Supuestos'!$B$37+'03_Supuestos'!$B$38,0)</x:f>
        <x:v>0</x:v>
      </x:c>
      <x:c r="M42" s="206" t="n">
        <x:f>IF(COLUMN()=2,'03_Supuestos'!$B$37+'03_Supuestos'!$B$38,0)</x:f>
        <x:v>0</x:v>
      </x:c>
      <x:c r="N42" s="206" t="n">
        <x:f>SUM(B42:M42)</x:f>
        <x:v>46500</x:v>
      </x:c>
    </x:row>
    <x:row r="43">
      <x:c r="A43" s="209" t="str">
        <x:v>FLUJO DE CAJA</x:v>
      </x:c>
      <x:c r="B43" s="210" t="n">
        <x:f>B41-B42</x:f>
        <x:v>-49448.64412</x:v>
      </x:c>
      <x:c r="C43" s="210" t="n">
        <x:f>C41-C42</x:f>
        <x:v>-2838.8426758</x:v>
      </x:c>
      <x:c r="D43" s="210" t="n">
        <x:f>D41-D42</x:f>
        <x:v>-2732.8842821470002</x:v>
      </x:c>
      <x:c r="E43" s="210" t="n">
        <x:f>E41-E42</x:f>
        <x:v>-2630.634432271855</x:v>
      </x:c>
      <x:c r="F43" s="210" t="n">
        <x:f>F41-F42</x:f>
        <x:v>-2531.9633271423404</x:v>
      </x:c>
      <x:c r="G43" s="210" t="n">
        <x:f>G41-G42</x:f>
        <x:v>-2436.7457106923584</x:v>
      </x:c>
      <x:c r="H43" s="210" t="n">
        <x:f>H41-H42</x:f>
        <x:v>-2344.860710818126</x:v>
      </x:c>
      <x:c r="I43" s="210" t="n">
        <x:f>I41-I42</x:f>
        <x:v>-2256.1916859394914</x:v>
      </x:c>
      <x:c r="J43" s="210" t="n">
        <x:f>J41-J42</x:f>
        <x:v>-2170.6260769316095</x:v>
      </x:c>
      <x:c r="K43" s="210" t="n">
        <x:f>K41-K42</x:f>
        <x:v>-2088.055264239003</x:v>
      </x:c>
      <x:c r="L43" s="210" t="n">
        <x:f>L41-L42</x:f>
        <x:v>-2008.374429990638</x:v>
      </x:c>
      <x:c r="M43" s="210" t="n">
        <x:f>M41-M42</x:f>
        <x:v>-1931.4824249409653</x:v>
      </x:c>
      <x:c r="N43" s="210" t="n">
        <x:f>SUM(B43:M43)</x:f>
        <x:v>-75419.30514091339</x:v>
      </x:c>
    </x:row>
    <x:row r="44">
      <x:c r="A44" s="209" t="str">
        <x:v>CAJA ACUMULADA</x:v>
      </x:c>
      <x:c r="B44" s="210" t="n">
        <x:f>B43</x:f>
        <x:v>-49448.64412</x:v>
      </x:c>
      <x:c r="C44" s="210" t="n">
        <x:f>B44+C43</x:f>
        <x:v>-52287.486795799996</x:v>
      </x:c>
      <x:c r="D44" s="210" t="n">
        <x:f>C44+D43</x:f>
        <x:v>-55020.371077947</x:v>
      </x:c>
      <x:c r="E44" s="210" t="n">
        <x:f>D44+E43</x:f>
        <x:v>-57651.005510218856</x:v>
      </x:c>
      <x:c r="F44" s="210" t="n">
        <x:f>E44+F43</x:f>
        <x:v>-60182.96883736119</x:v>
      </x:c>
      <x:c r="G44" s="210" t="n">
        <x:f>F44+G43</x:f>
        <x:v>-62619.714548053555</x:v>
      </x:c>
      <x:c r="H44" s="210" t="n">
        <x:f>G44+H43</x:f>
        <x:v>-64964.57525887168</x:v>
      </x:c>
      <x:c r="I44" s="210" t="n">
        <x:f>H44+I43</x:f>
        <x:v>-67220.76694481117</x:v>
      </x:c>
      <x:c r="J44" s="210" t="n">
        <x:f>I44+J43</x:f>
        <x:v>-69391.39302174278</x:v>
      </x:c>
      <x:c r="K44" s="210" t="n">
        <x:f>J44+K43</x:f>
        <x:v>-71479.44828598178</x:v>
      </x:c>
      <x:c r="L44" s="210" t="n">
        <x:f>K44+L43</x:f>
        <x:v>-73487.82271597242</x:v>
      </x:c>
      <x:c r="M44" s="210" t="n">
        <x:f>L44+M43</x:f>
        <x:v>-75419.30514091339</x:v>
      </x:c>
      <x:c r="N44" s="210" t="n">
        <x:f>M44</x:f>
        <x:v>-75419.30514091339</x:v>
      </x:c>
    </x:row>
    <x:row r="45">
      <x:c r="A45" s="185" t="str">
        <x:v>Indicador de recuperación (1 = recuperado)</x:v>
      </x:c>
      <x:c r="B45" s="205" t="n">
        <x:f>IF(B44&gt;=0,1,0)</x:f>
        <x:v>0</x:v>
      </x:c>
      <x:c r="C45" s="205" t="n">
        <x:f>IF(C44&gt;=0,1,0)</x:f>
        <x:v>0</x:v>
      </x:c>
      <x:c r="D45" s="205" t="n">
        <x:f>IF(D44&gt;=0,1,0)</x:f>
        <x:v>0</x:v>
      </x:c>
      <x:c r="E45" s="205" t="n">
        <x:f>IF(E44&gt;=0,1,0)</x:f>
        <x:v>0</x:v>
      </x:c>
      <x:c r="F45" s="205" t="n">
        <x:f>IF(F44&gt;=0,1,0)</x:f>
        <x:v>0</x:v>
      </x:c>
      <x:c r="G45" s="205" t="n">
        <x:f>IF(G44&gt;=0,1,0)</x:f>
        <x:v>0</x:v>
      </x:c>
      <x:c r="H45" s="205" t="n">
        <x:f>IF(H44&gt;=0,1,0)</x:f>
        <x:v>0</x:v>
      </x:c>
      <x:c r="I45" s="205" t="n">
        <x:f>IF(I44&gt;=0,1,0)</x:f>
        <x:v>0</x:v>
      </x:c>
      <x:c r="J45" s="205" t="n">
        <x:f>IF(J44&gt;=0,1,0)</x:f>
        <x:v>0</x:v>
      </x:c>
      <x:c r="K45" s="205" t="n">
        <x:f>IF(K44&gt;=0,1,0)</x:f>
        <x:v>0</x:v>
      </x:c>
      <x:c r="L45" s="205" t="n">
        <x:f>IF(L44&gt;=0,1,0)</x:f>
        <x:v>0</x:v>
      </x:c>
      <x:c r="M45" s="205" t="n">
        <x:f>IF(M44&gt;=0,1,0)</x:f>
        <x:v>0</x:v>
      </x:c>
      <x:c r="N45" s="205" t="n">
        <x:f>M45</x:f>
        <x:v>0</x:v>
      </x:c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N1"/>
    <x:mergeCell ref="A2:N2"/>
  </x:mergeCells>
  <x:conditionalFormatting sqref="B39:N39">
    <x:cfRule type="expression" dxfId="0" priority="1">
      <x:formula>B39&lt;0</x:formula>
    </x:cfRule>
    <x:cfRule type="expression" dxfId="1" priority="2">
      <x:formula>B39&gt;0</x:formula>
    </x:cfRule>
  </x:conditionalFormatting>
  <x:conditionalFormatting sqref="B41:N41">
    <x:cfRule type="expression" dxfId="2" priority="3">
      <x:formula>B41&lt;0</x:formula>
    </x:cfRule>
    <x:cfRule type="expression" dxfId="3" priority="4">
      <x:formula>B41&gt;0</x:formula>
    </x:cfRule>
  </x:conditionalFormatting>
  <x:conditionalFormatting sqref="B43:N44">
    <x:cfRule type="expression" dxfId="4" priority="5">
      <x:formula>B43&lt;0</x:formula>
    </x:cfRule>
    <x:cfRule type="expression" dxfId="5" priority="6">
      <x:formula>B43&gt;0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Punto de equilibrio y sensibilidad</x:v>
      </x:c>
      <x:c r="B1" s="5"/>
      <x:c r="C1" s="5"/>
      <x:c r="D1" s="5"/>
      <x:c r="E1" s="5"/>
      <x:c r="F1" s="5"/>
      <x:c r="G1" s="5"/>
      <x:c r="H1" s="5"/>
      <x:c r="I1" s="183"/>
      <x:c r="J1" s="183"/>
      <x:c r="K1" s="183"/>
      <x:c r="L1" s="183"/>
      <x:c r="M1" s="183"/>
      <x:c r="N1" s="183"/>
    </x:row>
    <x:row r="2" ht="34" customHeight="1">
      <x:c r="A2" s="13" t="str">
        <x:v>Cálculos automáticos para saber cuántos usuarios y partidas necesita Lootra.</x:v>
      </x:c>
      <x:c r="B2" s="13"/>
      <x:c r="C2" s="13"/>
      <x:c r="D2" s="13"/>
      <x:c r="E2" s="13"/>
      <x:c r="F2" s="13"/>
      <x:c r="G2" s="13"/>
      <x:c r="H2" s="1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 ht="22" customHeight="1">
      <x:c r="A4" s="21" t="str">
        <x:v>Economía unitaria mensual por usuario activo</x:v>
      </x:c>
      <x:c r="B4" s="21"/>
      <x:c r="C4" s="21"/>
      <x:c r="D4" s="21"/>
      <x:c r="E4" s="21"/>
      <x:c r="F4" s="21"/>
      <x:c r="G4" s="21"/>
      <x:c r="H4" s="21"/>
      <x:c r="I4" s="183"/>
      <x:c r="J4" s="183"/>
      <x:c r="K4" s="183"/>
      <x:c r="L4" s="183"/>
      <x:c r="M4" s="183"/>
      <x:c r="N4" s="183"/>
    </x:row>
    <x:row r="5">
      <x:c r="A5" s="30" t="str">
        <x:v>Concepto</x:v>
      </x:c>
      <x:c r="B5" s="30" t="str">
        <x:v>Fórmula / valor</x:v>
      </x:c>
      <x:c r="C5" s="30" t="str">
        <x:v>Resultado</x:v>
      </x:c>
      <x:c r="D5" s="30" t="str">
        <x:v>Unidad</x:v>
      </x:c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</x:row>
    <x:row r="6">
      <x:c r="A6" s="44" t="str">
        <x:v>Ingreso por partidas</x:v>
      </x:c>
      <x:c r="B6" s="185" t="str">
        <x:v>Partidas × ingreso por partida</x:v>
      </x:c>
      <x:c r="C6" s="199" t="n">
        <x:f>'03_Supuestos'!$B$14*'03_Supuestos'!$B$15</x:f>
        <x:v>1.5</x:v>
      </x:c>
      <x:c r="D6" s="183" t="str">
        <x:v>€/activo/mes</x:v>
      </x:c>
      <x:c r="E6" s="183"/>
      <x:c r="F6" s="183"/>
      <x:c r="G6" s="183"/>
      <x:c r="H6" s="183"/>
      <x:c r="I6" s="183"/>
      <x:c r="J6" s="183"/>
      <x:c r="K6" s="183"/>
      <x:c r="L6" s="183"/>
      <x:c r="M6" s="183"/>
      <x:c r="N6" s="183"/>
    </x:row>
    <x:row r="7">
      <x:c r="A7" s="44" t="str">
        <x:v>Coste premios por partidas</x:v>
      </x:c>
      <x:c r="B7" s="185" t="str">
        <x:v>Partidas × coste premio</x:v>
      </x:c>
      <x:c r="C7" s="199" t="n">
        <x:f>'03_Supuestos'!$B$14*'03_Supuestos'!$B$16</x:f>
        <x:v>0.3</x:v>
      </x:c>
      <x:c r="D7" s="183" t="str">
        <x:v>€/activo/mes</x:v>
      </x:c>
      <x:c r="E7" s="183"/>
      <x:c r="F7" s="183"/>
      <x:c r="G7" s="183"/>
      <x:c r="H7" s="183"/>
      <x:c r="I7" s="183"/>
      <x:c r="J7" s="183"/>
      <x:c r="K7" s="183"/>
      <x:c r="L7" s="183"/>
      <x:c r="M7" s="183"/>
      <x:c r="N7" s="183"/>
    </x:row>
    <x:row r="8">
      <x:c r="A8" s="44" t="str">
        <x:v>Ingreso premium</x:v>
      </x:c>
      <x:c r="B8" s="185" t="str">
        <x:v>Conversión × precio</x:v>
      </x:c>
      <x:c r="C8" s="199" t="n">
        <x:f>'03_Supuestos'!$B$17*'03_Supuestos'!$B$18</x:f>
        <x:v>0.2396</x:v>
      </x:c>
      <x:c r="D8" s="183" t="str">
        <x:v>€/activo/mes</x:v>
      </x:c>
      <x:c r="E8" s="183"/>
      <x:c r="F8" s="183"/>
      <x:c r="G8" s="183"/>
      <x:c r="H8" s="183"/>
      <x:c r="I8" s="183"/>
      <x:c r="J8" s="183"/>
      <x:c r="K8" s="183"/>
      <x:c r="L8" s="183"/>
      <x:c r="M8" s="183"/>
      <x:c r="N8" s="183"/>
    </x:row>
    <x:row r="9">
      <x:c r="A9" s="44" t="str">
        <x:v>Ingreso afiliación</x:v>
      </x:c>
      <x:c r="B9" s="185" t="str">
        <x:v>Ingreso por activo</x:v>
      </x:c>
      <x:c r="C9" s="199" t="n">
        <x:f>'03_Supuestos'!$B$19</x:f>
        <x:v>0.2</x:v>
      </x:c>
      <x:c r="D9" s="183" t="str">
        <x:v>€/activo/mes</x:v>
      </x:c>
      <x:c r="E9" s="183"/>
      <x:c r="F9" s="183"/>
      <x:c r="G9" s="183"/>
      <x:c r="H9" s="183"/>
      <x:c r="I9" s="183"/>
      <x:c r="J9" s="183"/>
      <x:c r="K9" s="183"/>
      <x:c r="L9" s="183"/>
      <x:c r="M9" s="183"/>
      <x:c r="N9" s="183"/>
    </x:row>
    <x:row r="10">
      <x:c r="A10" s="44" t="str">
        <x:v>Ingreso de cajas</x:v>
      </x:c>
      <x:c r="B10" s="185" t="str">
        <x:v>Activación × compradores × aperturas × precio</x:v>
      </x:c>
      <x:c r="C10" s="199" t="n">
        <x:f>'03_Supuestos'!$B$20*'03_Supuestos'!$B$21*'03_Supuestos'!$B$22*'03_Supuestos'!$B$23</x:f>
        <x:v>0</x:v>
      </x:c>
      <x:c r="D10" s="183" t="str">
        <x:v>€/activo/mes</x:v>
      </x:c>
      <x:c r="E10" s="183"/>
      <x:c r="F10" s="183"/>
      <x:c r="G10" s="183"/>
      <x:c r="H10" s="183"/>
      <x:c r="I10" s="183"/>
      <x:c r="J10" s="183"/>
      <x:c r="K10" s="183"/>
      <x:c r="L10" s="183"/>
      <x:c r="M10" s="183"/>
      <x:c r="N10" s="183"/>
    </x:row>
    <x:row r="11">
      <x:c r="A11" s="44" t="str">
        <x:v>Coste premios cajas</x:v>
      </x:c>
      <x:c r="B11" s="185" t="str">
        <x:v>Ingreso cajas × coste premio %</x:v>
      </x:c>
      <x:c r="C11" s="199" t="n">
        <x:f>C10*'03_Supuestos'!$B$24</x:f>
        <x:v>0</x:v>
      </x:c>
      <x:c r="D11" s="183" t="str">
        <x:v>€/activo/mes</x:v>
      </x:c>
      <x:c r="E11" s="183"/>
      <x:c r="F11" s="183"/>
      <x:c r="G11" s="183"/>
      <x:c r="H11" s="183"/>
      <x:c r="I11" s="183"/>
      <x:c r="J11" s="183"/>
      <x:c r="K11" s="183"/>
      <x:c r="L11" s="183"/>
      <x:c r="M11" s="183"/>
      <x:c r="N11" s="183"/>
    </x:row>
    <x:row r="12">
      <x:c r="A12" s="44" t="str">
        <x:v>Comisiones de pago</x:v>
      </x:c>
      <x:c r="B12" s="185" t="str">
        <x:v>(premium + cajas) × fee</x:v>
      </x:c>
      <x:c r="C12" s="199" t="n">
        <x:f>(C8+C10)*'03_Supuestos'!$B$25</x:f>
        <x:v>0.007188</x:v>
      </x:c>
      <x:c r="D12" s="183" t="str">
        <x:v>€/activo/mes</x:v>
      </x:c>
      <x:c r="E12" s="183"/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>
      <x:c r="A13" s="44" t="str">
        <x:v>Infraestructura variable</x:v>
      </x:c>
      <x:c r="B13" s="185" t="str">
        <x:v>Coste por activo</x:v>
      </x:c>
      <x:c r="C13" s="199" t="n">
        <x:f>'03_Supuestos'!$B$27</x:f>
        <x:v>0.038</x:v>
      </x:c>
      <x:c r="D13" s="183" t="str">
        <x:v>€/activo/mes</x:v>
      </x:c>
      <x:c r="E13" s="183"/>
      <x:c r="F13" s="183"/>
      <x:c r="G13" s="183"/>
      <x:c r="H13" s="183"/>
      <x:c r="I13" s="183"/>
      <x:c r="J13" s="183"/>
      <x:c r="K13" s="183"/>
      <x:c r="L13" s="183"/>
      <x:c r="M13" s="183"/>
      <x:c r="N13" s="183"/>
    </x:row>
    <x:row r="14">
      <x:c r="A14" s="44" t="str">
        <x:v>Soporte variable</x:v>
      </x:c>
      <x:c r="B14" s="185" t="str">
        <x:v>Coste por activo</x:v>
      </x:c>
      <x:c r="C14" s="199" t="n">
        <x:f>'03_Supuestos'!$B$31</x:f>
        <x:v>0.018</x:v>
      </x:c>
      <x:c r="D14" s="183" t="str">
        <x:v>€/activo/mes</x:v>
      </x:c>
      <x:c r="E14" s="183"/>
      <x:c r="F14" s="183"/>
      <x:c r="G14" s="183"/>
      <x:c r="H14" s="183"/>
      <x:c r="I14" s="183"/>
      <x:c r="J14" s="183"/>
      <x:c r="K14" s="183"/>
      <x:c r="L14" s="183"/>
      <x:c r="M14" s="183"/>
      <x:c r="N14" s="183"/>
    </x:row>
    <x:row r="15">
      <x:c r="A15" s="44" t="str">
        <x:v>Otros variables</x:v>
      </x:c>
      <x:c r="B15" s="185" t="str">
        <x:v>Ingresos × % variable</x:v>
      </x:c>
      <x:c r="C15" s="199" t="n">
        <x:f>(C6+C8+C9+C10)*'03_Supuestos'!$B$36</x:f>
        <x:v>0.038792</x:v>
      </x:c>
      <x:c r="D15" s="183" t="str">
        <x:v>€/activo/mes</x:v>
      </x:c>
      <x:c r="E15" s="183"/>
      <x:c r="F15" s="183"/>
      <x:c r="G15" s="183"/>
      <x:c r="H15" s="183"/>
      <x:c r="I15" s="183"/>
      <x:c r="J15" s="183"/>
      <x:c r="K15" s="183"/>
      <x:c r="L15" s="183"/>
      <x:c r="M15" s="183"/>
      <x:c r="N15" s="183"/>
    </x:row>
    <x:row r="16">
      <x:c r="A16" s="44" t="str">
        <x:v>Contribución por activo</x:v>
      </x:c>
      <x:c r="B16" s="185" t="str">
        <x:v>Ingresos - costes variables</x:v>
      </x:c>
      <x:c r="C16" s="199" t="n">
        <x:f>SUM(C6,C8:C10)-SUM(C7,C11:C15)</x:f>
        <x:v>1.53762</x:v>
      </x:c>
      <x:c r="D16" s="183" t="str">
        <x:v>€/activo/mes</x:v>
      </x:c>
      <x:c r="E16" s="183"/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>
      <x:c r="A17" s="183"/>
      <x:c r="B17" s="183"/>
      <x:c r="C17" s="183"/>
      <x:c r="D17" s="183"/>
      <x:c r="E17" s="183"/>
      <x:c r="F17" s="183"/>
      <x:c r="G17" s="183"/>
      <x:c r="H17" s="183"/>
      <x:c r="I17" s="183"/>
      <x:c r="J17" s="183"/>
      <x:c r="K17" s="183"/>
      <x:c r="L17" s="183"/>
      <x:c r="M17" s="183"/>
      <x:c r="N17" s="183"/>
    </x:row>
    <x:row r="18" ht="22" customHeight="1">
      <x:c r="A18" s="21" t="str">
        <x:v>Punto de equilibrio</x:v>
      </x:c>
      <x:c r="B18" s="21"/>
      <x:c r="C18" s="21"/>
      <x:c r="D18" s="21"/>
      <x:c r="E18" s="21"/>
      <x:c r="F18" s="21"/>
      <x:c r="G18" s="21"/>
      <x:c r="H18" s="21"/>
      <x:c r="I18" s="183"/>
      <x:c r="J18" s="183"/>
      <x:c r="K18" s="183"/>
      <x:c r="L18" s="183"/>
      <x:c r="M18" s="183"/>
      <x:c r="N18" s="183"/>
    </x:row>
    <x:row r="19">
      <x:c r="A19" s="30" t="str">
        <x:v>Indicador</x:v>
      </x:c>
      <x:c r="B19" s="30" t="str">
        <x:v>Resultado</x:v>
      </x:c>
      <x:c r="C19" s="30" t="str">
        <x:v>Unidad</x:v>
      </x:c>
      <x:c r="D19" s="30" t="str">
        <x:v>Interpretación</x:v>
      </x:c>
      <x:c r="E19" s="183"/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>
      <x:c r="A20" s="44" t="str">
        <x:v>Costes fijos mensuales</x:v>
      </x:c>
      <x:c r="B20" s="199" t="n">
        <x:f>SUM('03_Supuestos'!$B$26,'03_Supuestos'!$B$28,'03_Supuestos'!$B$29,'03_Supuestos'!$B$30,'03_Supuestos'!$B$10,'03_Supuestos'!$B$32/12,'03_Supuestos'!$B$33/12,'03_Supuestos'!$B$34/12,'03_Supuestos'!$B$35)</x:f>
        <x:v>3985</x:v>
      </x:c>
      <x:c r="C20" s="183" t="str">
        <x:v>€/mes</x:v>
      </x:c>
      <x:c r="D20" s="185" t="str">
        <x:v>Costes que existen aunque no haya jugadores.</x:v>
      </x:c>
      <x:c r="E20" s="183"/>
      <x:c r="F20" s="183"/>
      <x:c r="G20" s="183"/>
      <x:c r="H20" s="183"/>
      <x:c r="I20" s="183"/>
      <x:c r="J20" s="183"/>
      <x:c r="K20" s="183"/>
      <x:c r="L20" s="183"/>
      <x:c r="M20" s="183"/>
      <x:c r="N20" s="183"/>
    </x:row>
    <x:row r="21">
      <x:c r="A21" s="44" t="str">
        <x:v>Usuarios activos necesarios para equilibrio</x:v>
      </x:c>
      <x:c r="B21" s="198" t="n">
        <x:f>IFERROR(B20/C16,0)</x:f>
        <x:v>2591.6676422002834</x:v>
      </x:c>
      <x:c r="C21" s="183" t="str">
        <x:v>activos</x:v>
      </x:c>
      <x:c r="D21" s="185" t="str">
        <x:v>Usuarios activos mensuales para beneficio operativo cero.</x:v>
      </x:c>
      <x:c r="E21" s="183"/>
      <x:c r="F21" s="183"/>
      <x:c r="G21" s="183"/>
      <x:c r="H21" s="183"/>
      <x:c r="I21" s="183"/>
      <x:c r="J21" s="183"/>
      <x:c r="K21" s="183"/>
      <x:c r="L21" s="183"/>
      <x:c r="M21" s="183"/>
      <x:c r="N21" s="183"/>
    </x:row>
    <x:row r="22">
      <x:c r="A22" s="44" t="str">
        <x:v>Usuarios registrados necesarios</x:v>
      </x:c>
      <x:c r="B22" s="198" t="n">
        <x:f>IFERROR(B21/'03_Supuestos'!$B$13,0)</x:f>
        <x:v>8638.89214066761</x:v>
      </x:c>
      <x:c r="C22" s="183" t="str">
        <x:v>registrados</x:v>
      </x:c>
      <x:c r="D22" s="185" t="str">
        <x:v>Depende del porcentaje de usuarios activos.</x:v>
      </x:c>
      <x:c r="E22" s="183"/>
      <x:c r="F22" s="183"/>
      <x:c r="G22" s="183"/>
      <x:c r="H22" s="183"/>
      <x:c r="I22" s="183"/>
      <x:c r="J22" s="183"/>
      <x:c r="K22" s="183"/>
      <x:c r="L22" s="183"/>
      <x:c r="M22" s="183"/>
      <x:c r="N22" s="183"/>
    </x:row>
    <x:row r="23">
      <x:c r="A23" s="44" t="str">
        <x:v>Partidas mensuales necesarias</x:v>
      </x:c>
      <x:c r="B23" s="198" t="n">
        <x:f>B21*'03_Supuestos'!$B$14</x:f>
        <x:v>77750.0292660085</x:v>
      </x:c>
      <x:c r="C23" s="183" t="str">
        <x:v>partidas</x:v>
      </x:c>
      <x:c r="D23" s="185" t="str">
        <x:v>Partidas de los usuarios activos de equilibrio.</x:v>
      </x:c>
      <x:c r="E23" s="183"/>
      <x:c r="F23" s="183"/>
      <x:c r="G23" s="183"/>
      <x:c r="H23" s="183"/>
      <x:c r="I23" s="183"/>
      <x:c r="J23" s="183"/>
      <x:c r="K23" s="183"/>
      <x:c r="L23" s="183"/>
      <x:c r="M23" s="183"/>
      <x:c r="N23" s="183"/>
    </x:row>
    <x:row r="24">
      <x:c r="A24" s="44" t="str">
        <x:v>Usuarios activos para beneficio objetivo</x:v>
      </x:c>
      <x:c r="B24" s="198" t="n">
        <x:f>IFERROR((B20+'03_Supuestos'!$B$39/12)/C16,0)</x:f>
        <x:v>4217.557003681013</x:v>
      </x:c>
      <x:c r="C24" s="183" t="str">
        <x:v>activos</x:v>
      </x:c>
      <x:c r="D24" s="185" t="str">
        <x:v>Escala necesaria para alcanzar el beneficio anual deseado.</x:v>
      </x:c>
      <x:c r="E24" s="183"/>
      <x:c r="F24" s="183"/>
      <x:c r="G24" s="183"/>
      <x:c r="H24" s="183"/>
      <x:c r="I24" s="183"/>
      <x:c r="J24" s="183"/>
      <x:c r="K24" s="183"/>
      <x:c r="L24" s="183"/>
      <x:c r="M24" s="183"/>
      <x:c r="N24" s="183"/>
    </x:row>
    <x:row r="25">
      <x:c r="A25" s="44" t="str">
        <x:v>Usuarios registrados para beneficio objetivo</x:v>
      </x:c>
      <x:c r="B25" s="198" t="n">
        <x:f>IFERROR(B24/'03_Supuestos'!$B$13,0)</x:f>
        <x:v>14058.523345603378</x:v>
      </x:c>
      <x:c r="C25" s="183" t="str">
        <x:v>registrados</x:v>
      </x:c>
      <x:c r="D25" s="185" t="str">
        <x:v>Registros necesarios con la tasa de actividad actual.</x:v>
      </x:c>
      <x:c r="E25" s="183"/>
      <x:c r="F25" s="183"/>
      <x:c r="G25" s="183"/>
      <x:c r="H25" s="183"/>
      <x:c r="I25" s="183"/>
      <x:c r="J25" s="183"/>
      <x:c r="K25" s="183"/>
      <x:c r="L25" s="183"/>
      <x:c r="M25" s="183"/>
      <x:c r="N25" s="183"/>
    </x:row>
    <x:row r="26">
      <x:c r="A26" s="44" t="str">
        <x:v>Mes de recuperación de inversión</x:v>
      </x:c>
      <x:c r="B26" s="197" t="str">
        <x:f>IFERROR(MATCH(1,'04_Modelo_12M'!B45:M45,0),"No en año 1")</x:f>
        <x:v>No en año 1</x:v>
      </x:c>
      <x:c r="C26" s="183" t="str">
        <x:v>mes</x:v>
      </x:c>
      <x:c r="D26" s="185" t="str">
        <x:v>Primer mes con caja acumulada igual o superior a cero.</x:v>
      </x:c>
      <x:c r="E26" s="183"/>
      <x:c r="F26" s="183"/>
      <x:c r="G26" s="183"/>
      <x:c r="H26" s="183"/>
      <x:c r="I26" s="183"/>
      <x:c r="J26" s="183"/>
      <x:c r="K26" s="183"/>
      <x:c r="L26" s="183"/>
      <x:c r="M26" s="183"/>
      <x:c r="N26" s="183"/>
    </x:row>
    <x:row r="27">
      <x:c r="A27" s="44" t="str">
        <x:v>Necesidad máxima de financiación</x:v>
      </x:c>
      <x:c r="B27" s="199" t="n">
        <x:f>-MIN(0,MIN('04_Modelo_12M'!B44:M44))</x:f>
        <x:v>75419.30514091339</x:v>
      </x:c>
      <x:c r="C27" s="183" t="str">
        <x:v>€</x:v>
      </x:c>
      <x:c r="D27" s="185" t="str">
        <x:v>Pico de caja negativa durante el primer año.</x:v>
      </x:c>
      <x:c r="E27" s="183"/>
      <x:c r="F27" s="183"/>
      <x:c r="G27" s="183"/>
      <x:c r="H27" s="183"/>
      <x:c r="I27" s="183"/>
      <x:c r="J27" s="183"/>
      <x:c r="K27" s="183"/>
      <x:c r="L27" s="183"/>
      <x:c r="M27" s="183"/>
      <x:c r="N27" s="183"/>
    </x:row>
    <x:row r="28">
      <x:c r="A28" s="44" t="str">
        <x:v>Reserva de caja recomendada</x:v>
      </x:c>
      <x:c r="B28" s="199" t="n">
        <x:f>B20*'03_Supuestos'!$B$40</x:f>
        <x:v>15940</x:v>
      </x:c>
      <x:c r="C28" s="183" t="str">
        <x:v>€</x:v>
      </x:c>
      <x:c r="D28" s="185" t="str">
        <x:v>Meses de costes fijos definidos en los supuestos.</x:v>
      </x:c>
      <x:c r="E28" s="183"/>
      <x:c r="F28" s="183"/>
      <x:c r="G28" s="183"/>
      <x:c r="H28" s="183"/>
      <x:c r="I28" s="183"/>
      <x:c r="J28" s="183"/>
      <x:c r="K28" s="183"/>
      <x:c r="L28" s="183"/>
      <x:c r="M28" s="183"/>
      <x:c r="N28" s="183"/>
    </x:row>
    <x:row r="29">
      <x:c r="A29" s="183"/>
      <x:c r="B29" s="183"/>
      <x:c r="C29" s="183"/>
      <x:c r="D29" s="183"/>
      <x:c r="E29" s="183"/>
      <x:c r="F29" s="183"/>
      <x:c r="G29" s="183"/>
      <x:c r="H29" s="183"/>
      <x:c r="I29" s="183"/>
      <x:c r="J29" s="183"/>
      <x:c r="K29" s="183"/>
      <x:c r="L29" s="183"/>
      <x:c r="M29" s="183"/>
      <x:c r="N29" s="183"/>
    </x:row>
    <x:row r="30" ht="22" customHeight="1">
      <x:c r="A30" s="21" t="str">
        <x:v>Pruebas de estrés rápidas</x:v>
      </x:c>
      <x:c r="B30" s="21"/>
      <x:c r="C30" s="21"/>
      <x:c r="D30" s="21"/>
      <x:c r="E30" s="21"/>
      <x:c r="F30" s="21"/>
      <x:c r="G30" s="21"/>
      <x:c r="H30" s="21"/>
      <x:c r="I30" s="183"/>
      <x:c r="J30" s="183"/>
      <x:c r="K30" s="183"/>
      <x:c r="L30" s="183"/>
      <x:c r="M30" s="183"/>
      <x:c r="N30" s="183"/>
    </x:row>
    <x:row r="31">
      <x:c r="A31" s="30" t="str">
        <x:v>Prueba</x:v>
      </x:c>
      <x:c r="B31" s="30" t="str">
        <x:v>Resultado anual</x:v>
      </x:c>
      <x:c r="C31" s="30" t="str">
        <x:v>Cambio frente al escenario</x:v>
      </x:c>
      <x:c r="D31" s="30" t="str">
        <x:v>Lectura</x:v>
      </x:c>
      <x:c r="E31" s="183"/>
      <x:c r="F31" s="183"/>
      <x:c r="G31" s="183"/>
      <x:c r="H31" s="183"/>
      <x:c r="I31" s="183"/>
      <x:c r="J31" s="183"/>
      <x:c r="K31" s="183"/>
      <x:c r="L31" s="183"/>
      <x:c r="M31" s="183"/>
      <x:c r="N31" s="183"/>
    </x:row>
    <x:row r="32">
      <x:c r="A32" s="44" t="str">
        <x:v>Servidor cuesta el doble</x:v>
      </x:c>
      <x:c r="B32" s="217" t="n">
        <x:f>'04_Modelo_12M'!N41-'03_Supuestos'!$B$26*12</x:f>
        <x:v>-32039.305140913388</x:v>
      </x:c>
      <x:c r="C32" s="217" t="n">
        <x:f>B32-'04_Modelo_12M'!N41</x:f>
        <x:v>-3120</x:v>
      </x:c>
      <x:c r="D32" s="183" t="str">
        <x:v>Mide sensibilidad al coste técnico.</x:v>
      </x:c>
      <x:c r="E32" s="183"/>
      <x:c r="F32" s="183"/>
      <x:c r="G32" s="183"/>
      <x:c r="H32" s="183"/>
      <x:c r="I32" s="183"/>
      <x:c r="J32" s="183"/>
      <x:c r="K32" s="183"/>
      <x:c r="L32" s="183"/>
      <x:c r="M32" s="183"/>
      <x:c r="N32" s="183"/>
    </x:row>
    <x:row r="33">
      <x:c r="A33" s="44" t="str">
        <x:v>Usuarios juegan un 25% menos</x:v>
      </x:c>
      <x:c r="B33" s="217" t="n">
        <x:f>'04_Modelo_12M'!N41-('04_Modelo_12M'!N13-'04_Modelo_12M'!N21)*25%</x:f>
        <x:v>-32606.95778443128</x:v>
      </x:c>
      <x:c r="C33" s="217" t="n">
        <x:f>B33-'04_Modelo_12M'!N41</x:f>
        <x:v>-3687.652643517893</x:v>
      </x:c>
      <x:c r="D33" s="183" t="str">
        <x:v>Mide sensibilidad a la actividad.</x:v>
      </x:c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</x:row>
    <x:row r="34">
      <x:c r="A34" s="44" t="str">
        <x:v>CAC aumenta un 50%</x:v>
      </x:c>
      <x:c r="B34" s="217" t="n">
        <x:f>'04_Modelo_12M'!N41-('03_Supuestos'!$B$10*12*50%)</x:f>
        <x:v>-34919.30514091339</x:v>
      </x:c>
      <x:c r="C34" s="217" t="n">
        <x:f>B34-'04_Modelo_12M'!N41</x:f>
        <x:v>-6000.000000000004</x:v>
      </x:c>
      <x:c r="D34" s="183" t="str">
        <x:v>Mide dependencia del marketing.</x:v>
      </x:c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</x:row>
    <x:row r="35">
      <x:c r="A35" s="44" t="str">
        <x:v>Usuarios activos bajan 10 puntos porcentuales</x:v>
      </x:c>
      <x:c r="B35" s="217" t="n">
        <x:f>'04_Modelo_12M'!N41-MAX(0,('04_Modelo_12M'!N10*10/30))*C16</x:f>
        <x:v>-29603.8109992664</x:v>
      </x:c>
      <x:c r="C35" s="217" t="n">
        <x:f>B35-'04_Modelo_12M'!N41</x:f>
        <x:v>-684.5058583530117</x:v>
      </x:c>
      <x:c r="D35" s="183" t="str">
        <x:v>Mide calidad de activación y retención.</x:v>
      </x:c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 ht="22" customHeight="1">
      <x:c r="A37" s="21" t="str">
        <x:v>Sensibilidad: beneficio anual según actividad y partidas</x:v>
      </x:c>
      <x:c r="B37" s="21"/>
      <x:c r="C37" s="21"/>
      <x:c r="D37" s="21"/>
      <x:c r="E37" s="21"/>
      <x:c r="F37" s="21"/>
      <x:c r="G37" s="21"/>
      <x:c r="H37" s="21"/>
      <x:c r="I37" s="183"/>
      <x:c r="J37" s="183"/>
      <x:c r="K37" s="183"/>
      <x:c r="L37" s="183"/>
      <x:c r="M37" s="183"/>
      <x:c r="N37" s="183"/>
    </x:row>
    <x:row r="38">
      <x:c r="A38" s="30" t="str">
        <x:v>% activos / partidas</x:v>
      </x:c>
      <x:c r="B38" s="30" t="n">
        <x:v>10</x:v>
      </x:c>
      <x:c r="C38" s="30" t="n">
        <x:v>20</x:v>
      </x:c>
      <x:c r="D38" s="30" t="n">
        <x:v>30</x:v>
      </x:c>
      <x:c r="E38" s="30" t="n">
        <x:v>40</x:v>
      </x:c>
      <x:c r="F38" s="30" t="n">
        <x:v>50</x:v>
      </x:c>
      <x:c r="G38" s="183"/>
      <x:c r="H38" s="183"/>
      <x:c r="I38" s="183"/>
      <x:c r="J38" s="183"/>
      <x:c r="K38" s="183"/>
      <x:c r="L38" s="183"/>
      <x:c r="M38" s="183"/>
      <x:c r="N38" s="183"/>
    </x:row>
    <x:row r="39">
      <x:c r="A39" s="191" t="n">
        <x:v>0.15</x:v>
      </x:c>
      <x:c r="B39" s="218" t="n">
        <x:f>(AVERAGE('04_Modelo_12M'!B9:M9)*$A39)*((B$38*('03_Supuestos'!$B$15-'03_Supuestos'!$B$16))+('03_Supuestos'!$B$17*'03_Supuestos'!$B$18*(1-'03_Supuestos'!$B$25))+'03_Supuestos'!$B$19-'03_Supuestos'!$B$27-'03_Supuestos'!$B$31)*12-B20*12</x:f>
        <x:v>-43048.10372623498</x:v>
      </x:c>
      <x:c r="C39" s="218" t="n">
        <x:f>(AVERAGE('04_Modelo_12M'!B9:M9)*$A39)*((C$38*('03_Supuestos'!$B$15-'03_Supuestos'!$B$16))+('03_Supuestos'!$B$17*'03_Supuestos'!$B$18*(1-'03_Supuestos'!$B$25))+'03_Supuestos'!$B$19-'03_Supuestos'!$B$27-'03_Supuestos'!$B$31)*12-B20*12</x:f>
        <x:v>-40589.66863055638</x:v>
      </x:c>
      <x:c r="D39" s="218" t="n">
        <x:f>(AVERAGE('04_Modelo_12M'!B9:M9)*$A39)*((D$38*('03_Supuestos'!$B$15-'03_Supuestos'!$B$16))+('03_Supuestos'!$B$17*'03_Supuestos'!$B$18*(1-'03_Supuestos'!$B$25))+'03_Supuestos'!$B$19-'03_Supuestos'!$B$27-'03_Supuestos'!$B$31)*12-B20*12</x:f>
        <x:v>-38131.233534877785</x:v>
      </x:c>
      <x:c r="E39" s="218" t="n">
        <x:f>(AVERAGE('04_Modelo_12M'!B9:M9)*$A39)*((E$38*('03_Supuestos'!$B$15-'03_Supuestos'!$B$16))+('03_Supuestos'!$B$17*'03_Supuestos'!$B$18*(1-'03_Supuestos'!$B$25))+'03_Supuestos'!$B$19-'03_Supuestos'!$B$27-'03_Supuestos'!$B$31)*12-B20*12</x:f>
        <x:v>-35672.79843919919</x:v>
      </x:c>
      <x:c r="F39" s="218" t="n">
        <x:f>(AVERAGE('04_Modelo_12M'!B9:M9)*$A39)*((F$38*('03_Supuestos'!$B$15-'03_Supuestos'!$B$16))+('03_Supuestos'!$B$17*'03_Supuestos'!$B$18*(1-'03_Supuestos'!$B$25))+'03_Supuestos'!$B$19-'03_Supuestos'!$B$27-'03_Supuestos'!$B$31)*12-B20*12</x:f>
        <x:v>-33214.36334352059</x:v>
      </x:c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191" t="n">
        <x:v>0.25</x:v>
      </x:c>
      <x:c r="B40" s="218" t="n">
        <x:f>(AVERAGE('04_Modelo_12M'!B9:M9)*$A40)*((B$38*('03_Supuestos'!$B$15-'03_Supuestos'!$B$16))+('03_Supuestos'!$B$17*'03_Supuestos'!$B$18*(1-'03_Supuestos'!$B$25))+'03_Supuestos'!$B$19-'03_Supuestos'!$B$27-'03_Supuestos'!$B$31)*12-B20*12</x:f>
        <x:v>-39866.83954372496</x:v>
      </x:c>
      <x:c r="C40" s="218" t="n">
        <x:f>(AVERAGE('04_Modelo_12M'!B9:M9)*$A40)*((C$38*('03_Supuestos'!$B$15-'03_Supuestos'!$B$16))+('03_Supuestos'!$B$17*'03_Supuestos'!$B$18*(1-'03_Supuestos'!$B$25))+'03_Supuestos'!$B$19-'03_Supuestos'!$B$27-'03_Supuestos'!$B$31)*12-B20*12</x:f>
        <x:v>-35769.44771759397</x:v>
      </x:c>
      <x:c r="D40" s="218" t="n">
        <x:f>(AVERAGE('04_Modelo_12M'!B9:M9)*$A40)*((D$38*('03_Supuestos'!$B$15-'03_Supuestos'!$B$16))+('03_Supuestos'!$B$17*'03_Supuestos'!$B$18*(1-'03_Supuestos'!$B$25))+'03_Supuestos'!$B$19-'03_Supuestos'!$B$27-'03_Supuestos'!$B$31)*12-B20*12</x:f>
        <x:v>-31672.055891462976</x:v>
      </x:c>
      <x:c r="E40" s="218" t="n">
        <x:f>(AVERAGE('04_Modelo_12M'!B9:M9)*$A40)*((E$38*('03_Supuestos'!$B$15-'03_Supuestos'!$B$16))+('03_Supuestos'!$B$17*'03_Supuestos'!$B$18*(1-'03_Supuestos'!$B$25))+'03_Supuestos'!$B$19-'03_Supuestos'!$B$27-'03_Supuestos'!$B$31)*12-B20*12</x:f>
        <x:v>-27574.66406533198</x:v>
      </x:c>
      <x:c r="F40" s="218" t="n">
        <x:f>(AVERAGE('04_Modelo_12M'!B9:M9)*$A40)*((F$38*('03_Supuestos'!$B$15-'03_Supuestos'!$B$16))+('03_Supuestos'!$B$17*'03_Supuestos'!$B$18*(1-'03_Supuestos'!$B$25))+'03_Supuestos'!$B$19-'03_Supuestos'!$B$27-'03_Supuestos'!$B$31)*12-B20*12</x:f>
        <x:v>-23477.272239200982</x:v>
      </x:c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191" t="n">
        <x:v>0.35</x:v>
      </x:c>
      <x:c r="B41" s="218" t="n">
        <x:f>(AVERAGE('04_Modelo_12M'!B9:M9)*$A41)*((B$38*('03_Supuestos'!$B$15-'03_Supuestos'!$B$16))+('03_Supuestos'!$B$17*'03_Supuestos'!$B$18*(1-'03_Supuestos'!$B$25))+'03_Supuestos'!$B$19-'03_Supuestos'!$B$27-'03_Supuestos'!$B$31)*12-B20*12</x:f>
        <x:v>-36685.57536121495</x:v>
      </x:c>
      <x:c r="C41" s="218" t="n">
        <x:f>(AVERAGE('04_Modelo_12M'!B9:M9)*$A41)*((C$38*('03_Supuestos'!$B$15-'03_Supuestos'!$B$16))+('03_Supuestos'!$B$17*'03_Supuestos'!$B$18*(1-'03_Supuestos'!$B$25))+'03_Supuestos'!$B$19-'03_Supuestos'!$B$27-'03_Supuestos'!$B$31)*12-B20*12</x:f>
        <x:v>-30949.22680463156</x:v>
      </x:c>
      <x:c r="D41" s="218" t="n">
        <x:f>(AVERAGE('04_Modelo_12M'!B9:M9)*$A41)*((D$38*('03_Supuestos'!$B$15-'03_Supuestos'!$B$16))+('03_Supuestos'!$B$17*'03_Supuestos'!$B$18*(1-'03_Supuestos'!$B$25))+'03_Supuestos'!$B$19-'03_Supuestos'!$B$27-'03_Supuestos'!$B$31)*12-B20*12</x:f>
        <x:v>-25212.878248048168</x:v>
      </x:c>
      <x:c r="E41" s="218" t="n">
        <x:f>(AVERAGE('04_Modelo_12M'!B9:M9)*$A41)*((E$38*('03_Supuestos'!$B$15-'03_Supuestos'!$B$16))+('03_Supuestos'!$B$17*'03_Supuestos'!$B$18*(1-'03_Supuestos'!$B$25))+'03_Supuestos'!$B$19-'03_Supuestos'!$B$27-'03_Supuestos'!$B$31)*12-B20*12</x:f>
        <x:v>-19476.529691464773</x:v>
      </x:c>
      <x:c r="F41" s="218" t="n">
        <x:f>(AVERAGE('04_Modelo_12M'!B9:M9)*$A41)*((F$38*('03_Supuestos'!$B$15-'03_Supuestos'!$B$16))+('03_Supuestos'!$B$17*'03_Supuestos'!$B$18*(1-'03_Supuestos'!$B$25))+'03_Supuestos'!$B$19-'03_Supuestos'!$B$27-'03_Supuestos'!$B$31)*12-B20*12</x:f>
        <x:v>-13740.181134881379</x:v>
      </x:c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191" t="n">
        <x:v>0.45</x:v>
      </x:c>
      <x:c r="B42" s="218" t="n">
        <x:f>(AVERAGE('04_Modelo_12M'!B9:M9)*$A42)*((B$38*('03_Supuestos'!$B$15-'03_Supuestos'!$B$16))+('03_Supuestos'!$B$17*'03_Supuestos'!$B$18*(1-'03_Supuestos'!$B$25))+'03_Supuestos'!$B$19-'03_Supuestos'!$B$27-'03_Supuestos'!$B$31)*12-B20*12</x:f>
        <x:v>-33504.31117870493</x:v>
      </x:c>
      <x:c r="C42" s="218" t="n">
        <x:f>(AVERAGE('04_Modelo_12M'!B9:M9)*$A42)*((C$38*('03_Supuestos'!$B$15-'03_Supuestos'!$B$16))+('03_Supuestos'!$B$17*'03_Supuestos'!$B$18*(1-'03_Supuestos'!$B$25))+'03_Supuestos'!$B$19-'03_Supuestos'!$B$27-'03_Supuestos'!$B$31)*12-B20*12</x:f>
        <x:v>-26129.00589166914</x:v>
      </x:c>
      <x:c r="D42" s="218" t="n">
        <x:f>(AVERAGE('04_Modelo_12M'!B9:M9)*$A42)*((D$38*('03_Supuestos'!$B$15-'03_Supuestos'!$B$16))+('03_Supuestos'!$B$17*'03_Supuestos'!$B$18*(1-'03_Supuestos'!$B$25))+'03_Supuestos'!$B$19-'03_Supuestos'!$B$27-'03_Supuestos'!$B$31)*12-B20*12</x:f>
        <x:v>-18753.700604633355</x:v>
      </x:c>
      <x:c r="E42" s="218" t="n">
        <x:f>(AVERAGE('04_Modelo_12M'!B9:M9)*$A42)*((E$38*('03_Supuestos'!$B$15-'03_Supuestos'!$B$16))+('03_Supuestos'!$B$17*'03_Supuestos'!$B$18*(1-'03_Supuestos'!$B$25))+'03_Supuestos'!$B$19-'03_Supuestos'!$B$27-'03_Supuestos'!$B$31)*12-B20*12</x:f>
        <x:v>-11378.395317597562</x:v>
      </x:c>
      <x:c r="F42" s="218" t="n">
        <x:f>(AVERAGE('04_Modelo_12M'!B9:M9)*$A42)*((F$38*('03_Supuestos'!$B$15-'03_Supuestos'!$B$16))+('03_Supuestos'!$B$17*'03_Supuestos'!$B$18*(1-'03_Supuestos'!$B$25))+'03_Supuestos'!$B$19-'03_Supuestos'!$B$27-'03_Supuestos'!$B$31)*12-B20*12</x:f>
        <x:v>-4003.090030561769</x:v>
      </x:c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191" t="n">
        <x:v>0.55</x:v>
      </x:c>
      <x:c r="B43" s="218" t="n">
        <x:f>(AVERAGE('04_Modelo_12M'!B9:M9)*$A43)*((B$38*('03_Supuestos'!$B$15-'03_Supuestos'!$B$16))+('03_Supuestos'!$B$17*'03_Supuestos'!$B$18*(1-'03_Supuestos'!$B$25))+'03_Supuestos'!$B$19-'03_Supuestos'!$B$27-'03_Supuestos'!$B$31)*12-B20*12</x:f>
        <x:v>-30323.046996194913</x:v>
      </x:c>
      <x:c r="C43" s="218" t="n">
        <x:f>(AVERAGE('04_Modelo_12M'!B9:M9)*$A43)*((C$38*('03_Supuestos'!$B$15-'03_Supuestos'!$B$16))+('03_Supuestos'!$B$17*'03_Supuestos'!$B$18*(1-'03_Supuestos'!$B$25))+'03_Supuestos'!$B$19-'03_Supuestos'!$B$27-'03_Supuestos'!$B$31)*12-B20*12</x:f>
        <x:v>-21308.784978706724</x:v>
      </x:c>
      <x:c r="D43" s="218" t="n">
        <x:f>(AVERAGE('04_Modelo_12M'!B9:M9)*$A43)*((D$38*('03_Supuestos'!$B$15-'03_Supuestos'!$B$16))+('03_Supuestos'!$B$17*'03_Supuestos'!$B$18*(1-'03_Supuestos'!$B$25))+'03_Supuestos'!$B$19-'03_Supuestos'!$B$27-'03_Supuestos'!$B$31)*12-B20*12</x:f>
        <x:v>-12294.522961218543</x:v>
      </x:c>
      <x:c r="E43" s="218" t="n">
        <x:f>(AVERAGE('04_Modelo_12M'!B9:M9)*$A43)*((E$38*('03_Supuestos'!$B$15-'03_Supuestos'!$B$16))+('03_Supuestos'!$B$17*'03_Supuestos'!$B$18*(1-'03_Supuestos'!$B$25))+'03_Supuestos'!$B$19-'03_Supuestos'!$B$27-'03_Supuestos'!$B$31)*12-B20*12</x:f>
        <x:v>-3280.2609437303545</x:v>
      </x:c>
      <x:c r="F43" s="218" t="n">
        <x:f>(AVERAGE('04_Modelo_12M'!B9:M9)*$A43)*((F$38*('03_Supuestos'!$B$15-'03_Supuestos'!$B$16))+('03_Supuestos'!$B$17*'03_Supuestos'!$B$18*(1-'03_Supuestos'!$B$25))+'03_Supuestos'!$B$19-'03_Supuestos'!$B$27-'03_Supuestos'!$B$31)*12-B20*12</x:f>
        <x:v>5734.001073757841</x:v>
      </x:c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H1"/>
    <x:mergeCell ref="A2:H2"/>
    <x:mergeCell ref="A4:H4"/>
    <x:mergeCell ref="A18:H18"/>
    <x:mergeCell ref="A30:H30"/>
    <x:mergeCell ref="A37:H37"/>
  </x:mergeCells>
  <x:conditionalFormatting sqref="B39:F43">
    <x:cfRule type="colorScale" priority="1">
      <x:colorScale>
        <x:cfvo type="min"/>
        <x:cfvo type="percentile" val="50"/>
        <x:cfvo type="max"/>
        <x:color rgb="FFF8CACA"/>
        <x:color rgb="FFFFF1B8"/>
        <x:color rgb="FFCDEFD9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0" hidden="0" customWidth="1"/>
  </x:cols>
  <x:sheetData>
    <x:row r="1" ht="32" customHeight="1">
      <x:c r="A1" s="5" t="str">
        <x:v>Dashboard del plan de empresa - Lootra V5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Selecciona un escenario y revisa rentabilidad real, escala, financiación y evolución mensual. La economía de juego ficticia se analiza por separado.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44" t="str">
        <x:v>Escenario</x:v>
      </x:c>
      <x:c r="B3" s="192" t="str">
        <x:v>Realista</x:v>
      </x:c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183"/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</x:row>
    <x:row r="5">
      <x:c r="A5" s="21" t="str">
        <x:v>Ingresos año 1</x:v>
      </x:c>
      <x:c r="B5" s="21"/>
      <x:c r="C5" s="183"/>
      <x:c r="D5" s="21" t="str">
        <x:v>Costes año 1</x:v>
      </x:c>
      <x:c r="E5" s="21"/>
      <x:c r="F5" s="183"/>
      <x:c r="G5" s="21" t="str">
        <x:v>Beneficio neto</x:v>
      </x:c>
      <x:c r="H5" s="21"/>
      <x:c r="I5" s="183"/>
      <x:c r="J5" s="21" t="str">
        <x:v>Margen neto</x:v>
      </x:c>
      <x:c r="K5" s="21"/>
      <x:c r="L5" s="183"/>
      <x:c r="M5" s="183"/>
      <x:c r="N5" s="183"/>
    </x:row>
    <x:row r="6">
      <x:c r="A6" s="116" t="n">
        <x:f>'04_Modelo_12M'!N20</x:f>
        <x:v>23841.903557891023</x:v>
      </x:c>
      <x:c r="B6" s="116"/>
      <x:c r="C6" s="183"/>
      <x:c r="D6" s="116" t="n">
        <x:f>'04_Modelo_12M'!N27+'04_Modelo_12M'!N38+'04_Modelo_12M'!N40</x:f>
        <x:v>52761.20869880441</x:v>
      </x:c>
      <x:c r="E6" s="116"/>
      <x:c r="F6" s="183"/>
      <x:c r="G6" s="116" t="n">
        <x:f>'04_Modelo_12M'!N41</x:f>
        <x:v>-28919.305140913388</x:v>
      </x:c>
      <x:c r="H6" s="116"/>
      <x:c r="I6" s="183"/>
      <x:c r="J6" s="123" t="n">
        <x:f>IFERROR('04_Modelo_12M'!N41/'04_Modelo_12M'!N20,0)</x:f>
        <x:v>-1.2129612499561464</x:v>
      </x:c>
      <x:c r="K6" s="123"/>
      <x:c r="L6" s="183"/>
      <x:c r="M6" s="183"/>
      <x:c r="N6" s="183"/>
    </x:row>
    <x:row r="7">
      <x:c r="A7" s="116"/>
      <x:c r="B7" s="116"/>
      <x:c r="C7" s="183"/>
      <x:c r="D7" s="116"/>
      <x:c r="E7" s="116"/>
      <x:c r="F7" s="183"/>
      <x:c r="G7" s="116"/>
      <x:c r="H7" s="116"/>
      <x:c r="I7" s="183"/>
      <x:c r="J7" s="123"/>
      <x:c r="K7" s="123"/>
      <x:c r="L7" s="183"/>
      <x:c r="M7" s="183"/>
      <x:c r="N7" s="183"/>
    </x:row>
    <x:row r="8">
      <x:c r="A8" s="183"/>
      <x:c r="B8" s="183"/>
      <x:c r="C8" s="183"/>
      <x:c r="D8" s="183"/>
      <x:c r="E8" s="183"/>
      <x:c r="F8" s="183"/>
      <x:c r="G8" s="183"/>
      <x:c r="H8" s="183"/>
      <x:c r="I8" s="183"/>
      <x:c r="J8" s="183"/>
      <x:c r="K8" s="183"/>
      <x:c r="L8" s="183"/>
      <x:c r="M8" s="183"/>
      <x:c r="N8" s="183"/>
    </x:row>
    <x:row r="9">
      <x:c r="A9" s="21" t="str">
        <x:v>Registrados al cierre</x:v>
      </x:c>
      <x:c r="B9" s="21"/>
      <x:c r="C9" s="183"/>
      <x:c r="D9" s="21" t="str">
        <x:v>Activos al cierre</x:v>
      </x:c>
      <x:c r="E9" s="21"/>
      <x:c r="F9" s="183"/>
      <x:c r="G9" s="21" t="str">
        <x:v>Partidas año 1</x:v>
      </x:c>
      <x:c r="H9" s="21"/>
      <x:c r="I9" s="183"/>
      <x:c r="J9" s="21" t="str">
        <x:v>Ingreso por activo</x:v>
      </x:c>
      <x:c r="K9" s="21"/>
      <x:c r="L9" s="183"/>
      <x:c r="M9" s="183"/>
      <x:c r="N9" s="183"/>
    </x:row>
    <x:row r="10">
      <x:c r="A10" s="129" t="n">
        <x:f>'04_Modelo_12M'!N9</x:f>
        <x:v>4451.7231718695875</x:v>
      </x:c>
      <x:c r="B10" s="129"/>
      <x:c r="C10" s="183"/>
      <x:c r="D10" s="129" t="n">
        <x:f>'04_Modelo_12M'!N10</x:f>
        <x:v>1335.5169515608761</x:v>
      </x:c>
      <x:c r="E10" s="129"/>
      <x:c r="F10" s="183"/>
      <x:c r="G10" s="129" t="n">
        <x:f>'04_Modelo_12M'!N11</x:f>
        <x:v>368765.2643517894</x:v>
      </x:c>
      <x:c r="H10" s="129"/>
      <x:c r="I10" s="183"/>
      <x:c r="J10" s="116" t="n">
        <x:f>IFERROR('04_Modelo_12M'!N20/SUM('04_Modelo_12M'!B10:M10),0)</x:f>
        <x:v>1.9396000000000002</x:v>
      </x:c>
      <x:c r="K10" s="116"/>
      <x:c r="L10" s="183"/>
      <x:c r="M10" s="183"/>
      <x:c r="N10" s="183"/>
    </x:row>
    <x:row r="11">
      <x:c r="A11" s="129"/>
      <x:c r="B11" s="129"/>
      <x:c r="C11" s="183"/>
      <x:c r="D11" s="129"/>
      <x:c r="E11" s="129"/>
      <x:c r="F11" s="183"/>
      <x:c r="G11" s="129"/>
      <x:c r="H11" s="129"/>
      <x:c r="I11" s="183"/>
      <x:c r="J11" s="116"/>
      <x:c r="K11" s="116"/>
      <x:c r="L11" s="183"/>
      <x:c r="M11" s="183"/>
      <x:c r="N11" s="183"/>
    </x:row>
    <x:row r="12">
      <x:c r="A12" s="183"/>
      <x:c r="B12" s="183"/>
      <x:c r="C12" s="183"/>
      <x:c r="D12" s="183"/>
      <x:c r="E12" s="183"/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>
      <x:c r="A13" s="21" t="str">
        <x:v>Activos para equilibrio</x:v>
      </x:c>
      <x:c r="B13" s="21"/>
      <x:c r="C13" s="183"/>
      <x:c r="D13" s="21" t="str">
        <x:v>Registrados para equilibrio</x:v>
      </x:c>
      <x:c r="E13" s="21"/>
      <x:c r="F13" s="183"/>
      <x:c r="G13" s="21" t="str">
        <x:v>Financiación máxima</x:v>
      </x:c>
      <x:c r="H13" s="21"/>
      <x:c r="I13" s="183"/>
      <x:c r="J13" s="21" t="str">
        <x:v>Mes recuperación</x:v>
      </x:c>
      <x:c r="K13" s="21"/>
      <x:c r="L13" s="183"/>
      <x:c r="M13" s="183"/>
      <x:c r="N13" s="183"/>
    </x:row>
    <x:row r="14">
      <x:c r="A14" s="129" t="n">
        <x:f>'05_Equilibrio'!B21</x:f>
        <x:v>2591.6676422002834</x:v>
      </x:c>
      <x:c r="B14" s="129"/>
      <x:c r="C14" s="183"/>
      <x:c r="D14" s="129" t="n">
        <x:f>'05_Equilibrio'!B22</x:f>
        <x:v>8638.89214066761</x:v>
      </x:c>
      <x:c r="E14" s="129"/>
      <x:c r="F14" s="183"/>
      <x:c r="G14" s="116" t="n">
        <x:f>'05_Equilibrio'!B27</x:f>
        <x:v>75419.30514091339</x:v>
      </x:c>
      <x:c r="H14" s="116"/>
      <x:c r="I14" s="183"/>
      <x:c r="J14" s="129" t="str">
        <x:f>'05_Equilibrio'!B26</x:f>
        <x:v>No en año 1</x:v>
      </x:c>
      <x:c r="K14" s="129"/>
      <x:c r="L14" s="183"/>
      <x:c r="M14" s="183"/>
      <x:c r="N14" s="183"/>
    </x:row>
    <x:row r="15">
      <x:c r="A15" s="129"/>
      <x:c r="B15" s="129"/>
      <x:c r="C15" s="183"/>
      <x:c r="D15" s="129"/>
      <x:c r="E15" s="129"/>
      <x:c r="F15" s="183"/>
      <x:c r="G15" s="116"/>
      <x:c r="H15" s="116"/>
      <x:c r="I15" s="183"/>
      <x:c r="J15" s="129"/>
      <x:c r="K15" s="129"/>
      <x:c r="L15" s="183"/>
      <x:c r="M15" s="183"/>
      <x:c r="N15" s="183"/>
    </x:row>
    <x:row r="16">
      <x:c r="A16" s="183"/>
      <x:c r="B16" s="183"/>
      <x:c r="C16" s="183"/>
      <x:c r="D16" s="183"/>
      <x:c r="E16" s="183"/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 ht="22" customHeight="1">
      <x:c r="A17" s="21" t="str">
        <x:v>Lectura rápida del escenario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</x:row>
    <x:row r="18">
      <x:c r="A18" s="136" t="str">
        <x:f>IF('04_Modelo_12M'!N41&gt;='03_Supuestos'!$B$39,"Objetivo anual superado. El escenario cubre costes, inversión y beneficio objetivo.",IF('04_Modelo_12M'!N41&gt;0,"Negocio operativo rentable, pero todavía por debajo del beneficio objetivo.","El escenario no alcanza rentabilidad durante el primer año. Deben mejorar actividad, monetización o costes."))</x:f>
        <x:v>El escenario no alcanza rentabilidad durante el primer año. Deben mejorar actividad, monetización o costes.</x:v>
      </x:c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</x:row>
    <x:row r="21">
      <x:c r="A21" s="183"/>
      <x:c r="B21" s="183"/>
      <x:c r="C21" s="183"/>
      <x:c r="D21" s="183"/>
      <x:c r="E21" s="183"/>
      <x:c r="F21" s="183"/>
      <x:c r="G21" s="183"/>
      <x:c r="H21" s="183"/>
      <x:c r="I21" s="183"/>
      <x:c r="J21" s="183"/>
      <x:c r="K21" s="183"/>
      <x:c r="L21" s="183"/>
      <x:c r="M21" s="183"/>
      <x:c r="N21" s="183"/>
    </x:row>
    <x:row r="22" ht="22" customHeight="1">
      <x:c r="A22" s="21" t="str">
        <x:v>Evolución mensual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</x:row>
    <x:row r="23">
      <x:c r="A23" s="30" t="str">
        <x:v>Mes</x:v>
      </x:c>
      <x:c r="B23" s="30" t="str">
        <x:v>Registrados</x:v>
      </x:c>
      <x:c r="C23" s="30" t="str">
        <x:v>Activos</x:v>
      </x:c>
      <x:c r="D23" s="30" t="str">
        <x:v>Partidas</x:v>
      </x:c>
      <x:c r="E23" s="183"/>
      <x:c r="F23" s="30" t="str">
        <x:v>Mes</x:v>
      </x:c>
      <x:c r="G23" s="30" t="str">
        <x:v>Ingresos</x:v>
      </x:c>
      <x:c r="H23" s="30" t="str">
        <x:v>Costes</x:v>
      </x:c>
      <x:c r="I23" s="30" t="str">
        <x:v>Beneficio neto</x:v>
      </x:c>
      <x:c r="J23" s="183"/>
      <x:c r="K23" s="30" t="str">
        <x:v>Fuente</x:v>
      </x:c>
      <x:c r="L23" s="30" t="str">
        <x:v>Importe anual</x:v>
      </x:c>
      <x:c r="M23" s="30" t="str">
        <x:v>% ingresos</x:v>
      </x:c>
      <x:c r="N23" s="30" t="str">
        <x:v>Comentario</x:v>
      </x:c>
    </x:row>
    <x:row r="24">
      <x:c r="A24" s="221" t="str">
        <x:f>'04_Modelo_12M'!B4</x:f>
        <x:v>Mes 1</x:v>
      </x:c>
      <x:c r="B24" s="222" t="n">
        <x:f>'04_Modelo_12M'!B9</x:f>
        <x:v>2246.6666666666665</x:v>
      </x:c>
      <x:c r="C24" s="222" t="n">
        <x:f>'04_Modelo_12M'!B10</x:f>
        <x:v>673.9999999999999</x:v>
      </x:c>
      <x:c r="D24" s="222" t="n">
        <x:f>'04_Modelo_12M'!B11</x:f>
        <x:v>20219.999999999996</x:v>
      </x:c>
      <x:c r="E24" s="183"/>
      <x:c r="F24" s="221" t="str">
        <x:f>'04_Modelo_12M'!B4</x:f>
        <x:v>Mes 1</x:v>
      </x:c>
      <x:c r="G24" s="223" t="n">
        <x:f>'04_Modelo_12M'!B20</x:f>
        <x:v>1307.2903999999999</x:v>
      </x:c>
      <x:c r="H24" s="223" t="n">
        <x:f>'04_Modelo_12M'!B27+'04_Modelo_12M'!B38+'04_Modelo_12M'!B40</x:f>
        <x:v>4255.93452</x:v>
      </x:c>
      <x:c r="I24" s="223" t="n">
        <x:f>'04_Modelo_12M'!B41</x:f>
        <x:v>-2948.64412</x:v>
      </x:c>
      <x:c r="J24" s="183"/>
      <x:c r="K24" s="185" t="str">
        <x:v>Partidas</x:v>
      </x:c>
      <x:c r="L24" s="224" t="n">
        <x:f>'04_Modelo_12M'!N13</x:f>
        <x:v>18438.26321758947</x:v>
      </x:c>
      <x:c r="M24" s="225" t="n">
        <x:f>IFERROR(L24/'04_Modelo_12M'!N20,0)</x:f>
        <x:v>0.7733553309960817</x:v>
      </x:c>
      <x:c r="N24" s="185" t="str">
        <x:v>Publicidad/patrocinio por actividad</x:v>
      </x:c>
    </x:row>
    <x:row r="25">
      <x:c r="A25" s="221" t="str">
        <x:f>'04_Modelo_12M'!C4</x:f>
        <x:v>Mes 2</x:v>
      </x:c>
      <x:c r="B25" s="222" t="n">
        <x:f>'04_Modelo_12M'!C9</x:f>
        <x:v>2484.7</x:v>
      </x:c>
      <x:c r="C25" s="222" t="n">
        <x:f>'04_Modelo_12M'!C10</x:f>
        <x:v>745.41</x:v>
      </x:c>
      <x:c r="D25" s="222" t="n">
        <x:f>'04_Modelo_12M'!C11</x:f>
        <x:v>22362.3</x:v>
      </x:c>
      <x:c r="E25" s="183"/>
      <x:c r="F25" s="221" t="str">
        <x:f>'04_Modelo_12M'!C4</x:f>
        <x:v>Mes 2</x:v>
      </x:c>
      <x:c r="G25" s="223" t="n">
        <x:f>'04_Modelo_12M'!C20</x:f>
        <x:v>1445.7972359999999</x:v>
      </x:c>
      <x:c r="H25" s="223" t="n">
        <x:f>'04_Modelo_12M'!C27+'04_Modelo_12M'!C38+'04_Modelo_12M'!C40</x:f>
        <x:v>4284.6399118</x:v>
      </x:c>
      <x:c r="I25" s="223" t="n">
        <x:f>'04_Modelo_12M'!C41</x:f>
        <x:v>-2838.8426758</x:v>
      </x:c>
      <x:c r="J25" s="183"/>
      <x:c r="K25" s="185" t="str">
        <x:v>Premium</x:v>
      </x:c>
      <x:c r="L25" s="224" t="n">
        <x:f>'04_Modelo_12M'!N15</x:f>
        <x:v>2945.2052446229573</x:v>
      </x:c>
      <x:c r="M25" s="225" t="n">
        <x:f>IFERROR(L25/'04_Modelo_12M'!N20,0)</x:f>
        <x:v>0.12353062487110743</x:v>
      </x:c>
      <x:c r="N25" s="185" t="str">
        <x:v>Suscripción mensual</x:v>
      </x:c>
    </x:row>
    <x:row r="26">
      <x:c r="A26" s="221" t="str">
        <x:f>'04_Modelo_12M'!D4</x:f>
        <x:v>Mes 3</x:v>
      </x:c>
      <x:c r="B26" s="222" t="n">
        <x:f>'04_Modelo_12M'!D9</x:f>
        <x:v>2714.4021666666663</x:v>
      </x:c>
      <x:c r="C26" s="222" t="n">
        <x:f>'04_Modelo_12M'!D10</x:f>
        <x:v>814.3206499999999</x:v>
      </x:c>
      <x:c r="D26" s="222" t="n">
        <x:f>'04_Modelo_12M'!D11</x:f>
        <x:v>24429.619499999997</x:v>
      </x:c>
      <x:c r="E26" s="183"/>
      <x:c r="F26" s="221" t="str">
        <x:f>'04_Modelo_12M'!D4</x:f>
        <x:v>Mes 3</x:v>
      </x:c>
      <x:c r="G26" s="223" t="n">
        <x:f>'04_Modelo_12M'!D20</x:f>
        <x:v>1579.4563327399999</x:v>
      </x:c>
      <x:c r="H26" s="223" t="n">
        <x:f>'04_Modelo_12M'!D27+'04_Modelo_12M'!D38+'04_Modelo_12M'!D40</x:f>
        <x:v>4312.340614887</x:v>
      </x:c>
      <x:c r="I26" s="223" t="n">
        <x:f>'04_Modelo_12M'!D41</x:f>
        <x:v>-2732.8842821470002</x:v>
      </x:c>
      <x:c r="J26" s="183"/>
      <x:c r="K26" s="185" t="str">
        <x:v>Afiliación</x:v>
      </x:c>
      <x:c r="L26" s="224" t="n">
        <x:f>'04_Modelo_12M'!N16</x:f>
        <x:v>2458.4350956785956</x:v>
      </x:c>
      <x:c r="M26" s="225" t="n">
        <x:f>IFERROR(L26/'04_Modelo_12M'!N20,0)</x:f>
        <x:v>0.10311404413281088</x:v>
      </x:c>
      <x:c r="N26" s="185" t="str">
        <x:v>Derivación y colaboraciones</x:v>
      </x:c>
    </x:row>
    <x:row r="27">
      <x:c r="A27" s="221" t="str">
        <x:f>'04_Modelo_12M'!E4</x:f>
        <x:v>Mes 4</x:v>
      </x:c>
      <x:c r="B27" s="222" t="n">
        <x:f>'04_Modelo_12M'!E9</x:f>
        <x:v>2936.0647574999994</x:v>
      </x:c>
      <x:c r="C27" s="222" t="n">
        <x:f>'04_Modelo_12M'!E10</x:f>
        <x:v>880.8194272499998</x:v>
      </x:c>
      <x:c r="D27" s="222" t="n">
        <x:f>'04_Modelo_12M'!E11</x:f>
        <x:v>26424.58281749999</x:v>
      </x:c>
      <x:c r="E27" s="183"/>
      <x:c r="F27" s="221" t="str">
        <x:f>'04_Modelo_12M'!E4</x:f>
        <x:v>Mes 4</x:v>
      </x:c>
      <x:c r="G27" s="223" t="n">
        <x:f>'04_Modelo_12M'!E20</x:f>
        <x:v>1708.4373610940997</x:v>
      </x:c>
      <x:c r="H27" s="223" t="n">
        <x:f>'04_Modelo_12M'!E27+'04_Modelo_12M'!E38+'04_Modelo_12M'!E40</x:f>
        <x:v>4339.071793365955</x:v>
      </x:c>
      <x:c r="I27" s="223" t="n">
        <x:f>'04_Modelo_12M'!E41</x:f>
        <x:v>-2630.634432271855</x:v>
      </x:c>
      <x:c r="J27" s="183"/>
      <x:c r="K27" s="185" t="str">
        <x:v>Cajas</x:v>
      </x:c>
      <x:c r="L27" s="224" t="n">
        <x:f>'04_Modelo_12M'!N19</x:f>
        <x:v>0</x:v>
      </x:c>
      <x:c r="M27" s="225" t="n">
        <x:f>IFERROR(L27/'04_Modelo_12M'!N20,0)</x:f>
        <x:v>0</x:v>
      </x:c>
      <x:c r="N27" s="185" t="str">
        <x:v>Desactivadas por defecto</x:v>
      </x:c>
    </x:row>
    <x:row r="28">
      <x:c r="A28" s="221" t="str">
        <x:f>'04_Modelo_12M'!F4</x:f>
        <x:v>Mes 5</x:v>
      </x:c>
      <x:c r="B28" s="222" t="n">
        <x:f>'04_Modelo_12M'!F9</x:f>
        <x:v>3149.969157654166</x:v>
      </x:c>
      <x:c r="C28" s="222" t="n">
        <x:f>'04_Modelo_12M'!F10</x:f>
        <x:v>944.9907472962498</x:v>
      </x:c>
      <x:c r="D28" s="222" t="n">
        <x:f>'04_Modelo_12M'!F11</x:f>
        <x:v>28349.722418887493</x:v>
      </x:c>
      <x:c r="E28" s="183"/>
      <x:c r="F28" s="221" t="str">
        <x:f>'04_Modelo_12M'!F4</x:f>
        <x:v>Mes 5</x:v>
      </x:c>
      <x:c r="G28" s="223" t="n">
        <x:f>'04_Modelo_12M'!F20</x:f>
        <x:v>1832.9040534558062</x:v>
      </x:c>
      <x:c r="H28" s="223" t="n">
        <x:f>'04_Modelo_12M'!F27+'04_Modelo_12M'!F38+'04_Modelo_12M'!F40</x:f>
        <x:v>4364.867380598146</x:v>
      </x:c>
      <x:c r="I28" s="223" t="n">
        <x:f>'04_Modelo_12M'!F41</x:f>
        <x:v>-2531.9633271423404</x:v>
      </x:c>
      <x:c r="J28" s="183"/>
      <x:c r="K28" s="183"/>
      <x:c r="L28" s="183"/>
      <x:c r="M28" s="183"/>
      <x:c r="N28" s="183"/>
    </x:row>
    <x:row r="29">
      <x:c r="A29" s="221" t="str">
        <x:f>'04_Modelo_12M'!G4</x:f>
        <x:v>Mes 6</x:v>
      </x:c>
      <x:c r="B29" s="222" t="n">
        <x:f>'04_Modelo_12M'!G9</x:f>
        <x:v>3356.3869038029366</x:v>
      </x:c>
      <x:c r="C29" s="222" t="n">
        <x:f>'04_Modelo_12M'!G10</x:f>
        <x:v>1006.916071140881</x:v>
      </x:c>
      <x:c r="D29" s="222" t="n">
        <x:f>'04_Modelo_12M'!G11</x:f>
        <x:v>30207.48213422643</x:v>
      </x:c>
      <x:c r="E29" s="183"/>
      <x:c r="F29" s="221" t="str">
        <x:f>'04_Modelo_12M'!G4</x:f>
        <x:v>Mes 6</x:v>
      </x:c>
      <x:c r="G29" s="223" t="n">
        <x:f>'04_Modelo_12M'!G20</x:f>
        <x:v>1953.0144115848527</x:v>
      </x:c>
      <x:c r="H29" s="223" t="n">
        <x:f>'04_Modelo_12M'!G27+'04_Modelo_12M'!G38+'04_Modelo_12M'!G40</x:f>
        <x:v>4389.760122277212</x:v>
      </x:c>
      <x:c r="I29" s="223" t="n">
        <x:f>'04_Modelo_12M'!G41</x:f>
        <x:v>-2436.7457106923584</x:v>
      </x:c>
      <x:c r="J29" s="183"/>
      <x:c r="K29" s="183"/>
      <x:c r="L29" s="183"/>
      <x:c r="M29" s="183"/>
      <x:c r="N29" s="183"/>
    </x:row>
    <x:row r="30">
      <x:c r="A30" s="221" t="str">
        <x:f>'04_Modelo_12M'!H4</x:f>
        <x:v>Mes 7</x:v>
      </x:c>
      <x:c r="B30" s="222" t="n">
        <x:f>'04_Modelo_12M'!H9</x:f>
        <x:v>3555.5800288365003</x:v>
      </x:c>
      <x:c r="C30" s="222" t="n">
        <x:f>'04_Modelo_12M'!H10</x:f>
        <x:v>1066.67400865095</x:v>
      </x:c>
      <x:c r="D30" s="222" t="n">
        <x:f>'04_Modelo_12M'!H11</x:f>
        <x:v>32000.2202595285</x:v>
      </x:c>
      <x:c r="E30" s="183"/>
      <x:c r="F30" s="221" t="str">
        <x:f>'04_Modelo_12M'!H4</x:f>
        <x:v>Mes 7</x:v>
      </x:c>
      <x:c r="G30" s="223" t="n">
        <x:f>'04_Modelo_12M'!H20</x:f>
        <x:v>2068.920907179383</x:v>
      </x:c>
      <x:c r="H30" s="223" t="n">
        <x:f>'04_Modelo_12M'!H27+'04_Modelo_12M'!H38+'04_Modelo_12M'!H40</x:f>
        <x:v>4413.781617997509</x:v>
      </x:c>
      <x:c r="I30" s="223" t="n">
        <x:f>'04_Modelo_12M'!H41</x:f>
        <x:v>-2344.860710818126</x:v>
      </x:c>
      <x:c r="J30" s="183"/>
      <x:c r="K30" s="183"/>
      <x:c r="L30" s="183"/>
      <x:c r="M30" s="183"/>
      <x:c r="N30" s="183"/>
    </x:row>
    <x:row r="31">
      <x:c r="A31" s="221" t="str">
        <x:f>'04_Modelo_12M'!I4</x:f>
        <x:v>Mes 8</x:v>
      </x:c>
      <x:c r="B31" s="222" t="n">
        <x:f>'04_Modelo_12M'!I9</x:f>
        <x:v>3747.8013944938893</x:v>
      </x:c>
      <x:c r="C31" s="222" t="n">
        <x:f>'04_Modelo_12M'!I10</x:f>
        <x:v>1124.3404183481668</x:v>
      </x:c>
      <x:c r="D31" s="222" t="n">
        <x:f>'04_Modelo_12M'!I11</x:f>
        <x:v>33730.21255044501</x:v>
      </x:c>
      <x:c r="E31" s="183"/>
      <x:c r="F31" s="221" t="str">
        <x:f>'04_Modelo_12M'!I4</x:f>
        <x:v>Mes 8</x:v>
      </x:c>
      <x:c r="G31" s="223" t="n">
        <x:f>'04_Modelo_12M'!I20</x:f>
        <x:v>2180.770675428105</x:v>
      </x:c>
      <x:c r="H31" s="223" t="n">
        <x:f>'04_Modelo_12M'!I27+'04_Modelo_12M'!I38+'04_Modelo_12M'!I40</x:f>
        <x:v>4436.962361367596</x:v>
      </x:c>
      <x:c r="I31" s="223" t="n">
        <x:f>'04_Modelo_12M'!I41</x:f>
        <x:v>-2256.1916859394914</x:v>
      </x:c>
      <x:c r="J31" s="183"/>
      <x:c r="K31" s="183"/>
      <x:c r="L31" s="183"/>
      <x:c r="M31" s="183"/>
      <x:c r="N31" s="183"/>
    </x:row>
    <x:row r="32">
      <x:c r="A32" s="221" t="str">
        <x:f>'04_Modelo_12M'!J4</x:f>
        <x:v>Mes 9</x:v>
      </x:c>
      <x:c r="B32" s="222" t="n">
        <x:f>'04_Modelo_12M'!J9</x:f>
        <x:v>3933.2950123532696</x:v>
      </x:c>
      <x:c r="C32" s="222" t="n">
        <x:f>'04_Modelo_12M'!J10</x:f>
        <x:v>1179.9885037059807</x:v>
      </x:c>
      <x:c r="D32" s="222" t="n">
        <x:f>'04_Modelo_12M'!J11</x:f>
        <x:v>35399.655111179425</x:v>
      </x:c>
      <x:c r="E32" s="183"/>
      <x:c r="F32" s="221" t="str">
        <x:f>'04_Modelo_12M'!J4</x:f>
        <x:v>Mes 9</x:v>
      </x:c>
      <x:c r="G32" s="223" t="n">
        <x:f>'04_Modelo_12M'!J20</x:f>
        <x:v>2288.7057017881207</x:v>
      </x:c>
      <x:c r="H32" s="223" t="n">
        <x:f>'04_Modelo_12M'!J27+'04_Modelo_12M'!J38+'04_Modelo_12M'!J40</x:f>
        <x:v>4459.33177871973</x:v>
      </x:c>
      <x:c r="I32" s="223" t="n">
        <x:f>'04_Modelo_12M'!J41</x:f>
        <x:v>-2170.6260769316095</x:v>
      </x:c>
      <x:c r="J32" s="183"/>
      <x:c r="K32" s="183"/>
      <x:c r="L32" s="183"/>
      <x:c r="M32" s="183"/>
      <x:c r="N32" s="183"/>
    </x:row>
    <x:row r="33">
      <x:c r="A33" s="221" t="str">
        <x:f>'04_Modelo_12M'!K4</x:f>
        <x:v>Mes 10</x:v>
      </x:c>
      <x:c r="B33" s="222" t="n">
        <x:f>'04_Modelo_12M'!K9</x:f>
        <x:v>4112.2963535875715</x:v>
      </x:c>
      <x:c r="C33" s="222" t="n">
        <x:f>'04_Modelo_12M'!K10</x:f>
        <x:v>1233.6889060762715</x:v>
      </x:c>
      <x:c r="D33" s="222" t="n">
        <x:f>'04_Modelo_12M'!K11</x:f>
        <x:v>37010.66718228815</x:v>
      </x:c>
      <x:c r="E33" s="183"/>
      <x:c r="F33" s="221" t="str">
        <x:f>'04_Modelo_12M'!K4</x:f>
        <x:v>Mes 10</x:v>
      </x:c>
      <x:c r="G33" s="223" t="n">
        <x:f>'04_Modelo_12M'!K20</x:f>
        <x:v>2392.8630022255365</x:v>
      </x:c>
      <x:c r="H33" s="223" t="n">
        <x:f>'04_Modelo_12M'!K27+'04_Modelo_12M'!K38+'04_Modelo_12M'!K40</x:f>
        <x:v>4480.91826646454</x:v>
      </x:c>
      <x:c r="I33" s="223" t="n">
        <x:f>'04_Modelo_12M'!K41</x:f>
        <x:v>-2088.055264239003</x:v>
      </x:c>
      <x:c r="J33" s="183"/>
      <x:c r="K33" s="183"/>
      <x:c r="L33" s="183"/>
      <x:c r="M33" s="183"/>
      <x:c r="N33" s="183"/>
    </x:row>
    <x:row r="34">
      <x:c r="A34" s="221" t="str">
        <x:f>'04_Modelo_12M'!L4</x:f>
        <x:v>Mes 11</x:v>
      </x:c>
      <x:c r="B34" s="222" t="n">
        <x:f>'04_Modelo_12M'!L9</x:f>
        <x:v>4285.032647878674</x:v>
      </x:c>
      <x:c r="C34" s="222" t="n">
        <x:f>'04_Modelo_12M'!L10</x:f>
        <x:v>1285.5097943636022</x:v>
      </x:c>
      <x:c r="D34" s="222" t="n">
        <x:f>'04_Modelo_12M'!L11</x:f>
        <x:v>38565.293830908064</x:v>
      </x:c>
      <x:c r="E34" s="183"/>
      <x:c r="F34" s="221" t="str">
        <x:f>'04_Modelo_12M'!L4</x:f>
        <x:v>Mes 11</x:v>
      </x:c>
      <x:c r="G34" s="223" t="n">
        <x:f>'04_Modelo_12M'!L20</x:f>
        <x:v>2493.3747971476428</x:v>
      </x:c>
      <x:c r="H34" s="223" t="n">
        <x:f>'04_Modelo_12M'!L27+'04_Modelo_12M'!L38+'04_Modelo_12M'!L40</x:f>
        <x:v>4501.749227138281</x:v>
      </x:c>
      <x:c r="I34" s="223" t="n">
        <x:f>'04_Modelo_12M'!L41</x:f>
        <x:v>-2008.374429990638</x:v>
      </x:c>
      <x:c r="J34" s="183"/>
      <x:c r="K34" s="183"/>
      <x:c r="L34" s="183"/>
      <x:c r="M34" s="183"/>
      <x:c r="N34" s="183"/>
    </x:row>
    <x:row r="35">
      <x:c r="A35" s="221" t="str">
        <x:f>'04_Modelo_12M'!M4</x:f>
        <x:v>Mes 12</x:v>
      </x:c>
      <x:c r="B35" s="222" t="n">
        <x:f>'04_Modelo_12M'!M9</x:f>
        <x:v>4451.7231718695875</x:v>
      </x:c>
      <x:c r="C35" s="222" t="n">
        <x:f>'04_Modelo_12M'!M10</x:f>
        <x:v>1335.5169515608761</x:v>
      </x:c>
      <x:c r="D35" s="222" t="n">
        <x:f>'04_Modelo_12M'!M11</x:f>
        <x:v>40065.508546826284</x:v>
      </x:c>
      <x:c r="E35" s="183"/>
      <x:c r="F35" s="221" t="str">
        <x:f>'04_Modelo_12M'!M4</x:f>
        <x:v>Mes 12</x:v>
      </x:c>
      <x:c r="G35" s="223" t="n">
        <x:f>'04_Modelo_12M'!M20</x:f>
        <x:v>2590.3686792474755</x:v>
      </x:c>
      <x:c r="H35" s="223" t="n">
        <x:f>'04_Modelo_12M'!M27+'04_Modelo_12M'!M38+'04_Modelo_12M'!M40</x:f>
        <x:v>4521.851104188441</x:v>
      </x:c>
      <x:c r="I35" s="223" t="n">
        <x:f>'04_Modelo_12M'!M41</x:f>
        <x:v>-1931.4824249409653</x:v>
      </x:c>
      <x:c r="J35" s="183"/>
      <x:c r="K35" s="183"/>
      <x:c r="L35" s="183"/>
      <x:c r="M35" s="183"/>
      <x:c r="N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  <x:c r="I37" s="183"/>
      <x:c r="J37" s="183"/>
      <x:c r="K37" s="183"/>
      <x:c r="L37" s="183"/>
      <x:c r="M37" s="183"/>
      <x:c r="N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 ht="22" customHeight="1">
      <x:c r="A72" s="21" t="str">
        <x:v>Preguntas para la presentación</x:v>
      </x:c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</x:row>
    <x:row r="73">
      <x:c r="A73" s="157" t="str">
        <x:v>1</x:v>
      </x:c>
      <x:c r="B73" s="153" t="str">
        <x:v>¿Por qué el porcentaje de usuarios activos es razonable y cómo se medirá?</x:v>
      </x:c>
      <x:c r="C73" s="153"/>
      <x:c r="D73" s="153"/>
      <x:c r="E73" s="153"/>
      <x:c r="F73" s="153"/>
      <x:c r="G73" s="153"/>
      <x:c r="H73" s="153"/>
      <x:c r="I73" s="153"/>
      <x:c r="J73" s="153"/>
      <x:c r="K73" s="153"/>
      <x:c r="L73" s="153"/>
      <x:c r="M73" s="153"/>
      <x:c r="N73" s="153"/>
    </x:row>
    <x:row r="74">
      <x:c r="A74" s="167" t="str">
        <x:v>2</x:v>
      </x:c>
      <x:c r="B74" s="162" t="str">
        <x:v>¿Qué evidencia sustenta el precio premium?</x:v>
      </x:c>
      <x:c r="C74" s="162"/>
      <x:c r="D74" s="162"/>
      <x:c r="E74" s="162"/>
      <x:c r="F74" s="162"/>
      <x:c r="G74" s="162"/>
      <x:c r="H74" s="162"/>
      <x:c r="I74" s="162"/>
      <x:c r="J74" s="162"/>
      <x:c r="K74" s="162"/>
      <x:c r="L74" s="162"/>
      <x:c r="M74" s="162"/>
      <x:c r="N74" s="162"/>
    </x:row>
    <x:row r="75">
      <x:c r="A75" s="157" t="str">
        <x:v>3</x:v>
      </x:c>
      <x:c r="B75" s="153" t="str">
        <x:v>¿Qué ocurre si el servidor cuesta el doble? Consulta 05_Equilibrio.</x:v>
      </x:c>
      <x:c r="C75" s="153"/>
      <x:c r="D75" s="153"/>
      <x:c r="E75" s="153"/>
      <x:c r="F75" s="153"/>
      <x:c r="G75" s="153"/>
      <x:c r="H75" s="153"/>
      <x:c r="I75" s="153"/>
      <x:c r="J75" s="153"/>
      <x:c r="K75" s="153"/>
      <x:c r="L75" s="153"/>
      <x:c r="M75" s="153"/>
      <x:c r="N75" s="153"/>
    </x:row>
    <x:row r="76">
      <x:c r="A76" s="167" t="str">
        <x:v>4</x:v>
      </x:c>
      <x:c r="B76" s="162" t="str">
        <x:v>¿Qué ocurre si los usuarios juegan un 25% menos? Consulta 05_Equilibrio.</x:v>
      </x:c>
      <x:c r="C76" s="162"/>
      <x:c r="D76" s="162"/>
      <x:c r="E76" s="162"/>
      <x:c r="F76" s="162"/>
      <x:c r="G76" s="162"/>
      <x:c r="H76" s="162"/>
      <x:c r="I76" s="162"/>
      <x:c r="J76" s="162"/>
      <x:c r="K76" s="162"/>
      <x:c r="L76" s="162"/>
      <x:c r="M76" s="162"/>
      <x:c r="N76" s="162"/>
    </x:row>
    <x:row r="77">
      <x:c r="A77" s="157" t="str">
        <x:v>5</x:v>
      </x:c>
      <x:c r="B77" s="153" t="str">
        <x:v>¿Cuál es la variable más importante? Compara actividad, partidas e ingreso por partida.</x:v>
      </x:c>
      <x:c r="C77" s="153"/>
      <x:c r="D77" s="153"/>
      <x:c r="E77" s="153"/>
      <x:c r="F77" s="153"/>
      <x:c r="G77" s="153"/>
      <x:c r="H77" s="153"/>
      <x:c r="I77" s="153"/>
      <x:c r="J77" s="153"/>
      <x:c r="K77" s="153"/>
      <x:c r="L77" s="153"/>
      <x:c r="M77" s="153"/>
      <x:c r="N77" s="153"/>
    </x:row>
    <x:row r="78">
      <x:c r="A78" s="167" t="str">
        <x:v>6</x:v>
      </x:c>
      <x:c r="B78" s="162" t="str">
        <x:v>¿Cómo se conseguirán nuevos usuarios con un CAC sostenible?</x:v>
      </x:c>
      <x:c r="C78" s="162"/>
      <x:c r="D78" s="162"/>
      <x:c r="E78" s="162"/>
      <x:c r="F78" s="162"/>
      <x:c r="G78" s="162"/>
      <x:c r="H78" s="162"/>
      <x:c r="I78" s="162"/>
      <x:c r="J78" s="162"/>
      <x:c r="K78" s="162"/>
      <x:c r="L78" s="162"/>
      <x:c r="M78" s="162"/>
      <x:c r="N78" s="162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N1"/>
    <x:mergeCell ref="A2:N2"/>
    <x:mergeCell ref="A5:B5"/>
    <x:mergeCell ref="A6:B7"/>
    <x:mergeCell ref="D5:E5"/>
    <x:mergeCell ref="D6:E7"/>
    <x:mergeCell ref="G5:H5"/>
    <x:mergeCell ref="G6:H7"/>
    <x:mergeCell ref="J5:K5"/>
    <x:mergeCell ref="J6:K7"/>
    <x:mergeCell ref="A9:B9"/>
    <x:mergeCell ref="A10:B11"/>
    <x:mergeCell ref="D9:E9"/>
    <x:mergeCell ref="D10:E11"/>
    <x:mergeCell ref="G9:H9"/>
    <x:mergeCell ref="G10:H11"/>
    <x:mergeCell ref="J9:K9"/>
    <x:mergeCell ref="J10:K11"/>
    <x:mergeCell ref="A13:B13"/>
    <x:mergeCell ref="A14:B15"/>
    <x:mergeCell ref="D13:E13"/>
    <x:mergeCell ref="D14:E15"/>
    <x:mergeCell ref="G13:H13"/>
    <x:mergeCell ref="G14:H15"/>
    <x:mergeCell ref="J13:K13"/>
    <x:mergeCell ref="J14:K15"/>
    <x:mergeCell ref="A17:N17"/>
    <x:mergeCell ref="A18:N20"/>
    <x:mergeCell ref="A22:N22"/>
    <x:mergeCell ref="A72:N72"/>
    <x:mergeCell ref="B73:N73"/>
    <x:mergeCell ref="B74:N74"/>
    <x:mergeCell ref="B75:N75"/>
    <x:mergeCell ref="B76:N76"/>
    <x:mergeCell ref="B77:N77"/>
    <x:mergeCell ref="B78:N78"/>
  </x:mergeCells>
  <x:dataValidations count="1">
    <x:dataValidation type="list" sqref="B3">
      <x:formula1>'02_Escenarios'!$B$4:$E$4</x:formula1>
    </x:dataValidation>
  </x:dataValidations>
  <x:pageMargins left="0.7" right="0.7" top="0.75" bottom="0.75" header="0.3" footer="0.3"/>
  <x:drawing xmlns:r="http://schemas.openxmlformats.org/officeDocument/2006/relationships" r:id="Rbdba9a2290454372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</x:cols>
  <x:sheetData>
    <x:row r="1" ht="32" customHeight="1">
      <x:c r="A1" s="5" t="str">
        <x:v>Economía virtual de las cajas - Lootra V5</x:v>
      </x:c>
      <x:c r="B1" s="5"/>
      <x:c r="C1" s="5"/>
      <x:c r="D1" s="5"/>
      <x:c r="E1" s="5"/>
      <x:c r="F1" s="5"/>
      <x:c r="G1" s="5"/>
      <x:c r="H1" s="183"/>
      <x:c r="I1" s="183"/>
      <x:c r="J1" s="183"/>
      <x:c r="K1" s="183"/>
      <x:c r="L1" s="183"/>
      <x:c r="M1" s="183"/>
      <x:c r="N1" s="183"/>
    </x:row>
    <x:row r="2" ht="34" customHeight="1">
      <x:c r="A2" s="13" t="str">
        <x:v>La hoja calcula el valor virtual esperado de los cosméticos. Este valor no equivale a un coste monetario ni a una obligación de pago, porque los premios no son canjeables.</x:v>
      </x:c>
      <x:c r="B2" s="13"/>
      <x:c r="C2" s="13"/>
      <x:c r="D2" s="13"/>
      <x:c r="E2" s="13"/>
      <x:c r="F2" s="13"/>
      <x:c r="G2" s="13"/>
      <x:c r="H2" s="18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301" t="str">
        <x:v>Caja</x:v>
      </x:c>
      <x:c r="B4" s="301" t="str">
        <x:v>Precio virtual</x:v>
      </x:c>
      <x:c r="C4" s="301" t="str">
        <x:v>Peso total</x:v>
      </x:c>
      <x:c r="D4" s="301" t="str">
        <x:v>Valor esperado virtual</x:v>
      </x:c>
      <x:c r="E4" s="301" t="str">
        <x:v>RTP virtual</x:v>
      </x:c>
      <x:c r="F4" s="301" t="str">
        <x:v>Margen virtual</x:v>
      </x:c>
      <x:c r="G4" s="301" t="str">
        <x:v>Tipo de premio</x:v>
      </x:c>
      <x:c r="H4" s="301" t="str">
        <x:v>Diagnóstico</x:v>
      </x:c>
      <x:c r="I4" s="183"/>
      <x:c r="J4" s="183"/>
      <x:c r="K4" s="183"/>
      <x:c r="L4" s="183"/>
      <x:c r="M4" s="183"/>
      <x:c r="N4" s="183"/>
    </x:row>
    <x:row r="5">
      <x:c r="A5" s="183" t="str">
        <x:v>Starter Drop</x:v>
      </x:c>
      <x:c r="B5" s="307" t="n">
        <x:v>2.99</x:v>
      </x:c>
      <x:c r="C5" s="218" t="n">
        <x:f>SUMIF($A$14:$A$37,A5,$D$14:$D$37)</x:f>
        <x:v>1000</x:v>
      </x:c>
      <x:c r="D5" s="218" t="n">
        <x:f>SUMIF($A$14:$A$37,A5,$G$14:$G$37)</x:f>
        <x:v>2.8725</x:v>
      </x:c>
      <x:c r="E5" s="312" t="n">
        <x:f>IFERROR(D5/B5,0)</x:f>
        <x:v>0.9607023411371237</x:v>
      </x:c>
      <x:c r="F5" s="218" t="n">
        <x:f>B5-D5</x:f>
        <x:v>0.11750000000000016</x:v>
      </x:c>
      <x:c r="G5" s="185" t="str">
        <x:v>Cosmético digital</x:v>
      </x:c>
      <x:c r="H5" s="185" t="str">
        <x:f>IF(E5&lt;0.98,"Equilibrio virtual controlado","Revisar configuración")</x:f>
        <x:v>Equilibrio virtual controlado</x:v>
      </x:c>
      <x:c r="I5" s="183"/>
      <x:c r="J5" s="183"/>
      <x:c r="K5" s="183"/>
      <x:c r="L5" s="183"/>
      <x:c r="M5" s="183"/>
      <x:c r="N5" s="183"/>
    </x:row>
    <x:row r="6">
      <x:c r="A6" s="183" t="str">
        <x:v>Gaming Vault</x:v>
      </x:c>
      <x:c r="B6" s="307" t="n">
        <x:v>9.99</x:v>
      </x:c>
      <x:c r="C6" s="218" t="n">
        <x:f>SUMIF($A$14:$A$37,A6,$D$14:$D$37)</x:f>
        <x:v>1000</x:v>
      </x:c>
      <x:c r="D6" s="218" t="n">
        <x:f>SUMIF($A$14:$A$37,A6,$G$14:$G$37)</x:f>
        <x:v>9.598</x:v>
      </x:c>
      <x:c r="E6" s="312" t="n">
        <x:f>IFERROR(D6/B6,0)</x:f>
        <x:v>0.9607607607607608</x:v>
      </x:c>
      <x:c r="F6" s="218" t="n">
        <x:f>B6-D6</x:f>
        <x:v>0.39199999999999946</x:v>
      </x:c>
      <x:c r="G6" s="185" t="str">
        <x:v>Cosmético digital</x:v>
      </x:c>
      <x:c r="H6" s="185" t="str">
        <x:f>IF(E6&lt;0.98,"Equilibrio virtual controlado","Revisar configuración")</x:f>
        <x:v>Equilibrio virtual controlado</x:v>
      </x:c>
      <x:c r="I6" s="183"/>
      <x:c r="J6" s="183"/>
      <x:c r="K6" s="183"/>
      <x:c r="L6" s="183"/>
      <x:c r="M6" s="183"/>
      <x:c r="N6" s="183"/>
    </x:row>
    <x:row r="7">
      <x:c r="A7" s="183" t="str">
        <x:v>Tech Pulse</x:v>
      </x:c>
      <x:c r="B7" s="307" t="n">
        <x:v>24.99</x:v>
      </x:c>
      <x:c r="C7" s="218" t="n">
        <x:f>SUMIF($A$14:$A$37,A7,$D$14:$D$37)</x:f>
        <x:v>1000</x:v>
      </x:c>
      <x:c r="D7" s="218" t="n">
        <x:f>SUMIF($A$14:$A$37,A7,$G$14:$G$37)</x:f>
        <x:v>23.974000000000004</x:v>
      </x:c>
      <x:c r="E7" s="312" t="n">
        <x:f>IFERROR(D7/B7,0)</x:f>
        <x:v>0.9593437374949982</x:v>
      </x:c>
      <x:c r="F7" s="218" t="n">
        <x:f>B7-D7</x:f>
        <x:v>1.0159999999999947</x:v>
      </x:c>
      <x:c r="G7" s="185" t="str">
        <x:v>Cosmético digital</x:v>
      </x:c>
      <x:c r="H7" s="185" t="str">
        <x:f>IF(E7&lt;0.98,"Equilibrio virtual controlado","Revisar configuración")</x:f>
        <x:v>Equilibrio virtual controlado</x:v>
      </x:c>
      <x:c r="I7" s="183"/>
      <x:c r="J7" s="183"/>
      <x:c r="K7" s="183"/>
      <x:c r="L7" s="183"/>
      <x:c r="M7" s="183"/>
      <x:c r="N7" s="183"/>
    </x:row>
    <x:row r="8">
      <x:c r="A8" s="183" t="str">
        <x:v>Luxury Black</x:v>
      </x:c>
      <x:c r="B8" s="307" t="n">
        <x:v>49.99</x:v>
      </x:c>
      <x:c r="C8" s="218" t="n">
        <x:f>SUMIF($A$14:$A$37,A8,$D$14:$D$37)</x:f>
        <x:v>1000</x:v>
      </x:c>
      <x:c r="D8" s="218" t="n">
        <x:f>SUMIF($A$14:$A$37,A8,$G$14:$G$37)</x:f>
        <x:v>47.67499999999999</x:v>
      </x:c>
      <x:c r="E8" s="312" t="n">
        <x:f>IFERROR(D8/B8,0)</x:f>
        <x:v>0.9536907381476293</x:v>
      </x:c>
      <x:c r="F8" s="218" t="n">
        <x:f>B8-D8</x:f>
        <x:v>2.315000000000012</x:v>
      </x:c>
      <x:c r="G8" s="185" t="str">
        <x:v>Cosmético digital</x:v>
      </x:c>
      <x:c r="H8" s="185" t="str">
        <x:f>IF(E8&lt;0.98,"Equilibrio virtual controlado","Revisar configuración")</x:f>
        <x:v>Equilibrio virtual controlado</x:v>
      </x:c>
      <x:c r="I8" s="183"/>
      <x:c r="J8" s="183"/>
      <x:c r="K8" s="183"/>
      <x:c r="L8" s="183"/>
      <x:c r="M8" s="183"/>
      <x:c r="N8" s="183"/>
    </x:row>
    <x:row r="9">
      <x:c r="A9" s="183"/>
      <x:c r="B9" s="183"/>
      <x:c r="C9" s="183"/>
      <x:c r="D9" s="183"/>
      <x:c r="E9" s="183"/>
      <x:c r="F9" s="183"/>
      <x:c r="G9" s="183"/>
      <x:c r="H9" s="183"/>
      <x:c r="I9" s="183"/>
      <x:c r="J9" s="183"/>
      <x:c r="K9" s="183"/>
      <x:c r="L9" s="183"/>
      <x:c r="M9" s="183"/>
      <x:c r="N9" s="183"/>
    </x:row>
    <x:row r="10">
      <x:c r="A10" s="183"/>
      <x:c r="B10" s="183"/>
      <x:c r="C10" s="183"/>
      <x:c r="D10" s="183"/>
      <x:c r="E10" s="183"/>
      <x:c r="F10" s="183"/>
      <x:c r="G10" s="183"/>
      <x:c r="H10" s="183"/>
      <x:c r="I10" s="183"/>
      <x:c r="J10" s="183"/>
      <x:c r="K10" s="183"/>
      <x:c r="L10" s="183"/>
      <x:c r="M10" s="183"/>
      <x:c r="N10" s="183"/>
    </x:row>
    <x:row r="11" ht="22" customHeight="1">
      <x:c r="A11" s="300" t="str">
        <x:v>Detalle de premios y probabilidades</x:v>
      </x:c>
      <x:c r="B11" s="300"/>
      <x:c r="C11" s="300"/>
      <x:c r="D11" s="300"/>
      <x:c r="E11" s="300"/>
      <x:c r="F11" s="300"/>
      <x:c r="G11" s="300"/>
      <x:c r="H11" s="300"/>
      <x:c r="I11" s="183"/>
      <x:c r="J11" s="183"/>
      <x:c r="K11" s="183"/>
      <x:c r="L11" s="183"/>
      <x:c r="M11" s="183"/>
      <x:c r="N11" s="183"/>
    </x:row>
    <x:row r="12">
      <x:c r="A12" s="183"/>
      <x:c r="B12" s="183"/>
      <x:c r="C12" s="183"/>
      <x:c r="D12" s="183"/>
      <x:c r="E12" s="183"/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>
      <x:c r="A13" s="301" t="str">
        <x:v>Caja</x:v>
      </x:c>
      <x:c r="B13" s="301" t="str">
        <x:v>Premio</x:v>
      </x:c>
      <x:c r="C13" s="301" t="str">
        <x:v>Valor virtual</x:v>
      </x:c>
      <x:c r="D13" s="301" t="str">
        <x:v>Peso</x:v>
      </x:c>
      <x:c r="E13" s="301" t="str">
        <x:v>Probabilidad</x:v>
      </x:c>
      <x:c r="F13" s="301" t="str">
        <x:v>Rareza</x:v>
      </x:c>
      <x:c r="G13" s="301" t="str">
        <x:v>Contribución al EV</x:v>
      </x:c>
      <x:c r="H13" s="301" t="str">
        <x:v>Fuente</x:v>
      </x:c>
      <x:c r="I13" s="183"/>
      <x:c r="J13" s="183"/>
      <x:c r="K13" s="183"/>
      <x:c r="L13" s="183"/>
      <x:c r="M13" s="183"/>
      <x:c r="N13" s="183"/>
    </x:row>
    <x:row r="14">
      <x:c r="A14" s="185" t="str">
        <x:v>Starter Drop</x:v>
      </x:c>
      <x:c r="B14" s="185" t="str">
        <x:v>Marco de perfil Neon</x:v>
      </x:c>
      <x:c r="C14" s="315" t="n">
        <x:v>0.75</x:v>
      </x:c>
      <x:c r="D14" s="316" t="n">
        <x:v>380</x:v>
      </x:c>
      <x:c r="E14" s="225" t="n">
        <x:f>IFERROR(D14/SUMIF($A$14:$A$37,A14,$D$14:$D$37),0)</x:f>
        <x:v>0.38</x:v>
      </x:c>
      <x:c r="F14" s="185" t="str">
        <x:v>comun</x:v>
      </x:c>
      <x:c r="G14" s="224" t="n">
        <x:f>C14*E14</x:f>
        <x:v>0.28500000000000003</x:v>
      </x:c>
      <x:c r="H14" s="185" t="str">
        <x:v>config/cajas.php (V5)</x:v>
      </x:c>
      <x:c r="I14" s="183"/>
      <x:c r="J14" s="183"/>
      <x:c r="K14" s="183"/>
      <x:c r="L14" s="183"/>
      <x:c r="M14" s="183"/>
      <x:c r="N14" s="183"/>
    </x:row>
    <x:row r="15">
      <x:c r="A15" s="185" t="str">
        <x:v>Starter Drop</x:v>
      </x:c>
      <x:c r="B15" s="185" t="str">
        <x:v>Insignia Lootra</x:v>
      </x:c>
      <x:c r="C15" s="315" t="n">
        <x:v>1.25</x:v>
      </x:c>
      <x:c r="D15" s="316" t="n">
        <x:v>270</x:v>
      </x:c>
      <x:c r="E15" s="225" t="n">
        <x:f>IFERROR(D15/SUMIF($A$14:$A$37,A15,$D$14:$D$37),0)</x:f>
        <x:v>0.27</x:v>
      </x:c>
      <x:c r="F15" s="185" t="str">
        <x:v>comun</x:v>
      </x:c>
      <x:c r="G15" s="224" t="n">
        <x:f>C15*E15</x:f>
        <x:v>0.3375</x:v>
      </x:c>
      <x:c r="H15" s="185" t="str">
        <x:v>config/cajas.php (V5)</x:v>
      </x:c>
      <x:c r="I15" s="183"/>
      <x:c r="J15" s="183"/>
      <x:c r="K15" s="183"/>
      <x:c r="L15" s="183"/>
      <x:c r="M15" s="183"/>
      <x:c r="N15" s="183"/>
    </x:row>
    <x:row r="16">
      <x:c r="A16" s="185" t="str">
        <x:v>Starter Drop</x:v>
      </x:c>
      <x:c r="B16" s="185" t="str">
        <x:v>Pack de emotes Neon</x:v>
      </x:c>
      <x:c r="C16" s="315" t="n">
        <x:v>3</x:v>
      </x:c>
      <x:c r="D16" s="316" t="n">
        <x:v>180</x:v>
      </x:c>
      <x:c r="E16" s="225" t="n">
        <x:f>IFERROR(D16/SUMIF($A$14:$A$37,A16,$D$14:$D$37),0)</x:f>
        <x:v>0.18</x:v>
      </x:c>
      <x:c r="F16" s="185" t="str">
        <x:v>poco_comun</x:v>
      </x:c>
      <x:c r="G16" s="224" t="n">
        <x:f>C16*E16</x:f>
        <x:v>0.54</x:v>
      </x:c>
      <x:c r="H16" s="185" t="str">
        <x:v>config/cajas.php (V5)</x:v>
      </x:c>
      <x:c r="I16" s="183"/>
      <x:c r="J16" s="183"/>
      <x:c r="K16" s="183"/>
      <x:c r="L16" s="183"/>
      <x:c r="M16" s="183"/>
      <x:c r="N16" s="183"/>
    </x:row>
    <x:row r="17">
      <x:c r="A17" s="185" t="str">
        <x:v>Starter Drop</x:v>
      </x:c>
      <x:c r="B17" s="185" t="str">
        <x:v>Tema de interfaz Aurora</x:v>
      </x:c>
      <x:c r="C17" s="315" t="n">
        <x:v>6.5</x:v>
      </x:c>
      <x:c r="D17" s="316" t="n">
        <x:v>110</x:v>
      </x:c>
      <x:c r="E17" s="225" t="n">
        <x:f>IFERROR(D17/SUMIF($A$14:$A$37,A17,$D$14:$D$37),0)</x:f>
        <x:v>0.11</x:v>
      </x:c>
      <x:c r="F17" s="185" t="str">
        <x:v>raro</x:v>
      </x:c>
      <x:c r="G17" s="224" t="n">
        <x:f>C17*E17</x:f>
        <x:v>0.715</x:v>
      </x:c>
      <x:c r="H17" s="185" t="str">
        <x:v>config/cajas.php (V5)</x:v>
      </x:c>
      <x:c r="I17" s="183"/>
      <x:c r="J17" s="183"/>
      <x:c r="K17" s="183"/>
      <x:c r="L17" s="183"/>
      <x:c r="M17" s="183"/>
      <x:c r="N17" s="183"/>
    </x:row>
    <x:row r="18">
      <x:c r="A18" s="185" t="str">
        <x:v>Starter Drop</x:v>
      </x:c>
      <x:c r="B18" s="185" t="str">
        <x:v>Animación de victoria Mini</x:v>
      </x:c>
      <x:c r="C18" s="315" t="n">
        <x:v>14</x:v>
      </x:c>
      <x:c r="D18" s="316" t="n">
        <x:v>55</x:v>
      </x:c>
      <x:c r="E18" s="225" t="n">
        <x:f>IFERROR(D18/SUMIF($A$14:$A$37,A18,$D$14:$D$37),0)</x:f>
        <x:v>0.055</x:v>
      </x:c>
      <x:c r="F18" s="185" t="str">
        <x:v>epico</x:v>
      </x:c>
      <x:c r="G18" s="224" t="n">
        <x:f>C18*E18</x:f>
        <x:v>0.77</x:v>
      </x:c>
      <x:c r="H18" s="185" t="str">
        <x:v>config/cajas.php (V5)</x:v>
      </x:c>
      <x:c r="I18" s="183"/>
      <x:c r="J18" s="183"/>
      <x:c r="K18" s="183"/>
      <x:c r="L18" s="183"/>
      <x:c r="M18" s="183"/>
      <x:c r="N18" s="183"/>
    </x:row>
    <x:row r="19">
      <x:c r="A19" s="185" t="str">
        <x:v>Starter Drop</x:v>
      </x:c>
      <x:c r="B19" s="185" t="str">
        <x:v>Efecto legendario Fit</x:v>
      </x:c>
      <x:c r="C19" s="315" t="n">
        <x:v>45</x:v>
      </x:c>
      <x:c r="D19" s="316" t="n">
        <x:v>5</x:v>
      </x:c>
      <x:c r="E19" s="225" t="n">
        <x:f>IFERROR(D19/SUMIF($A$14:$A$37,A19,$D$14:$D$37),0)</x:f>
        <x:v>0.005</x:v>
      </x:c>
      <x:c r="F19" s="185" t="str">
        <x:v>legendario</x:v>
      </x:c>
      <x:c r="G19" s="224" t="n">
        <x:f>C19*E19</x:f>
        <x:v>0.225</x:v>
      </x:c>
      <x:c r="H19" s="185" t="str">
        <x:v>config/cajas.php (V5)</x:v>
      </x:c>
      <x:c r="I19" s="183"/>
      <x:c r="J19" s="183"/>
      <x:c r="K19" s="183"/>
      <x:c r="L19" s="183"/>
      <x:c r="M19" s="183"/>
      <x:c r="N19" s="183"/>
    </x:row>
    <x:row r="20">
      <x:c r="A20" s="185" t="str">
        <x:v>Gaming Vault</x:v>
      </x:c>
      <x:c r="B20" s="185" t="str">
        <x:v>Fondo RGB Digital</x:v>
      </x:c>
      <x:c r="C20" s="315" t="n">
        <x:v>4</x:v>
      </x:c>
      <x:c r="D20" s="316" t="n">
        <x:v>557</x:v>
      </x:c>
      <x:c r="E20" s="225" t="n">
        <x:f>IFERROR(D20/SUMIF($A$14:$A$37,A20,$D$14:$D$37),0)</x:f>
        <x:v>0.557</x:v>
      </x:c>
      <x:c r="F20" s="185" t="str">
        <x:v>comun</x:v>
      </x:c>
      <x:c r="G20" s="224" t="n">
        <x:f>C20*E20</x:f>
        <x:v>2.228</x:v>
      </x:c>
      <x:c r="H20" s="185" t="str">
        <x:v>config/cajas.php (V5)</x:v>
      </x:c>
      <x:c r="I20" s="183"/>
      <x:c r="J20" s="183"/>
      <x:c r="K20" s="183"/>
      <x:c r="L20" s="183"/>
      <x:c r="M20" s="183"/>
      <x:c r="N20" s="183"/>
    </x:row>
    <x:row r="21">
      <x:c r="A21" s="185" t="str">
        <x:v>Gaming Vault</x:v>
      </x:c>
      <x:c r="B21" s="185" t="str">
        <x:v>Pack de iconos Gaming</x:v>
      </x:c>
      <x:c r="C21" s="315" t="n">
        <x:v>8</x:v>
      </x:c>
      <x:c r="D21" s="316" t="n">
        <x:v>250</x:v>
      </x:c>
      <x:c r="E21" s="225" t="n">
        <x:f>IFERROR(D21/SUMIF($A$14:$A$37,A21,$D$14:$D$37),0)</x:f>
        <x:v>0.25</x:v>
      </x:c>
      <x:c r="F21" s="185" t="str">
        <x:v>poco_comun</x:v>
      </x:c>
      <x:c r="G21" s="224" t="n">
        <x:f>C21*E21</x:f>
        <x:v>2</x:v>
      </x:c>
      <x:c r="H21" s="185" t="str">
        <x:v>config/cajas.php (V5)</x:v>
      </x:c>
      <x:c r="I21" s="183"/>
      <x:c r="J21" s="183"/>
      <x:c r="K21" s="183"/>
      <x:c r="L21" s="183"/>
      <x:c r="M21" s="183"/>
      <x:c r="N21" s="183"/>
    </x:row>
    <x:row r="22">
      <x:c r="A22" s="185" t="str">
        <x:v>Gaming Vault</x:v>
      </x:c>
      <x:c r="B22" s="185" t="str">
        <x:v>Avatar Gaming Pro</x:v>
      </x:c>
      <x:c r="C22" s="315" t="n">
        <x:v>18</x:v>
      </x:c>
      <x:c r="D22" s="316" t="n">
        <x:v>120</x:v>
      </x:c>
      <x:c r="E22" s="225" t="n">
        <x:f>IFERROR(D22/SUMIF($A$14:$A$37,A22,$D$14:$D$37),0)</x:f>
        <x:v>0.12</x:v>
      </x:c>
      <x:c r="F22" s="185" t="str">
        <x:v>raro</x:v>
      </x:c>
      <x:c r="G22" s="224" t="n">
        <x:f>C22*E22</x:f>
        <x:v>2.16</x:v>
      </x:c>
      <x:c r="H22" s="185" t="str">
        <x:v>config/cajas.php (V5)</x:v>
      </x:c>
      <x:c r="I22" s="183"/>
      <x:c r="J22" s="183"/>
      <x:c r="K22" s="183"/>
      <x:c r="L22" s="183"/>
      <x:c r="M22" s="183"/>
      <x:c r="N22" s="183"/>
    </x:row>
    <x:row r="23">
      <x:c r="A23" s="185" t="str">
        <x:v>Gaming Vault</x:v>
      </x:c>
      <x:c r="B23" s="185" t="str">
        <x:v>Tema mecánico</x:v>
      </x:c>
      <x:c r="C23" s="315" t="n">
        <x:v>35</x:v>
      </x:c>
      <x:c r="D23" s="316" t="n">
        <x:v>63</x:v>
      </x:c>
      <x:c r="E23" s="225" t="n">
        <x:f>IFERROR(D23/SUMIF($A$14:$A$37,A23,$D$14:$D$37),0)</x:f>
        <x:v>0.063</x:v>
      </x:c>
      <x:c r="F23" s="185" t="str">
        <x:v>raro</x:v>
      </x:c>
      <x:c r="G23" s="224" t="n">
        <x:f>C23*E23</x:f>
        <x:v>2.205</x:v>
      </x:c>
      <x:c r="H23" s="185" t="str">
        <x:v>config/cajas.php (V5)</x:v>
      </x:c>
      <x:c r="I23" s="183"/>
      <x:c r="J23" s="183"/>
      <x:c r="K23" s="183"/>
      <x:c r="L23" s="183"/>
      <x:c r="M23" s="183"/>
      <x:c r="N23" s="183"/>
    </x:row>
    <x:row r="24">
      <x:c r="A24" s="185" t="str">
        <x:v>Gaming Vault</x:v>
      </x:c>
      <x:c r="B24" s="185" t="str">
        <x:v>Efecto de victoria inalámbrico</x:v>
      </x:c>
      <x:c r="C24" s="315" t="n">
        <x:v>65</x:v>
      </x:c>
      <x:c r="D24" s="316" t="n">
        <x:v>9</x:v>
      </x:c>
      <x:c r="E24" s="225" t="n">
        <x:f>IFERROR(D24/SUMIF($A$14:$A$37,A24,$D$14:$D$37),0)</x:f>
        <x:v>0.009</x:v>
      </x:c>
      <x:c r="F24" s="185" t="str">
        <x:v>epico</x:v>
      </x:c>
      <x:c r="G24" s="224" t="n">
        <x:f>C24*E24</x:f>
        <x:v>0.585</x:v>
      </x:c>
      <x:c r="H24" s="185" t="str">
        <x:v>config/cajas.php (V5)</x:v>
      </x:c>
      <x:c r="I24" s="183"/>
      <x:c r="J24" s="183"/>
      <x:c r="K24" s="183"/>
      <x:c r="L24" s="183"/>
      <x:c r="M24" s="183"/>
      <x:c r="N24" s="183"/>
    </x:row>
    <x:row r="25">
      <x:c r="A25" s="185" t="str">
        <x:v>Gaming Vault</x:v>
      </x:c>
      <x:c r="B25" s="185" t="str">
        <x:v>Avatar legendario Next Gen</x:v>
      </x:c>
      <x:c r="C25" s="315" t="n">
        <x:v>420</x:v>
      </x:c>
      <x:c r="D25" s="316" t="n">
        <x:v>1</x:v>
      </x:c>
      <x:c r="E25" s="225" t="n">
        <x:f>IFERROR(D25/SUMIF($A$14:$A$37,A25,$D$14:$D$37),0)</x:f>
        <x:v>0.001</x:v>
      </x:c>
      <x:c r="F25" s="185" t="str">
        <x:v>legendario</x:v>
      </x:c>
      <x:c r="G25" s="224" t="n">
        <x:f>C25*E25</x:f>
        <x:v>0.42</x:v>
      </x:c>
      <x:c r="H25" s="185" t="str">
        <x:v>config/cajas.php (V5)</x:v>
      </x:c>
      <x:c r="I25" s="183"/>
      <x:c r="J25" s="183"/>
      <x:c r="K25" s="183"/>
      <x:c r="L25" s="183"/>
      <x:c r="M25" s="183"/>
      <x:c r="N25" s="183"/>
    </x:row>
    <x:row r="26">
      <x:c r="A26" s="185" t="str">
        <x:v>Tech Pulse</x:v>
      </x:c>
      <x:c r="B26" s="185" t="str">
        <x:v>Cargador holográfico</x:v>
      </x:c>
      <x:c r="C26" s="315" t="n">
        <x:v>9</x:v>
      </x:c>
      <x:c r="D26" s="316" t="n">
        <x:v>546</x:v>
      </x:c>
      <x:c r="E26" s="225" t="n">
        <x:f>IFERROR(D26/SUMIF($A$14:$A$37,A26,$D$14:$D$37),0)</x:f>
        <x:v>0.546</x:v>
      </x:c>
      <x:c r="F26" s="185" t="str">
        <x:v>comun</x:v>
      </x:c>
      <x:c r="G26" s="224" t="n">
        <x:f>C26*E26</x:f>
        <x:v>4.914000000000001</x:v>
      </x:c>
      <x:c r="H26" s="185" t="str">
        <x:v>config/cajas.php (V5)</x:v>
      </x:c>
      <x:c r="I26" s="183"/>
      <x:c r="J26" s="183"/>
      <x:c r="K26" s="183"/>
      <x:c r="L26" s="183"/>
      <x:c r="M26" s="183"/>
      <x:c r="N26" s="183"/>
    </x:row>
    <x:row r="27">
      <x:c r="A27" s="185" t="str">
        <x:v>Tech Pulse</x:v>
      </x:c>
      <x:c r="B27" s="185" t="str">
        <x:v>Pack de fondos Power</x:v>
      </x:c>
      <x:c r="C27" s="315" t="n">
        <x:v>18</x:v>
      </x:c>
      <x:c r="D27" s="316" t="n">
        <x:v>250</x:v>
      </x:c>
      <x:c r="E27" s="225" t="n">
        <x:f>IFERROR(D27/SUMIF($A$14:$A$37,A27,$D$14:$D$37),0)</x:f>
        <x:v>0.25</x:v>
      </x:c>
      <x:c r="F27" s="185" t="str">
        <x:v>poco_comun</x:v>
      </x:c>
      <x:c r="G27" s="224" t="n">
        <x:f>C27*E27</x:f>
        <x:v>4.5</x:v>
      </x:c>
      <x:c r="H27" s="185" t="str">
        <x:v>config/cajas.php (V5)</x:v>
      </x:c>
      <x:c r="I27" s="183"/>
      <x:c r="J27" s="183"/>
      <x:c r="K27" s="183"/>
      <x:c r="L27" s="183"/>
      <x:c r="M27" s="183"/>
      <x:c r="N27" s="183"/>
    </x:row>
    <x:row r="28">
      <x:c r="A28" s="185" t="str">
        <x:v>Tech Pulse</x:v>
      </x:c>
      <x:c r="B28" s="185" t="str">
        <x:v>Aura de perfil ANC</x:v>
      </x:c>
      <x:c r="C28" s="315" t="n">
        <x:v>45</x:v>
      </x:c>
      <x:c r="D28" s="316" t="n">
        <x:v>134</x:v>
      </x:c>
      <x:c r="E28" s="225" t="n">
        <x:f>IFERROR(D28/SUMIF($A$14:$A$37,A28,$D$14:$D$37),0)</x:f>
        <x:v>0.134</x:v>
      </x:c>
      <x:c r="F28" s="185" t="str">
        <x:v>raro</x:v>
      </x:c>
      <x:c r="G28" s="224" t="n">
        <x:f>C28*E28</x:f>
        <x:v>6.03</x:v>
      </x:c>
      <x:c r="H28" s="185" t="str">
        <x:v>config/cajas.php (V5)</x:v>
      </x:c>
      <x:c r="I28" s="183"/>
      <x:c r="J28" s="183"/>
      <x:c r="K28" s="183"/>
      <x:c r="L28" s="183"/>
      <x:c r="M28" s="183"/>
      <x:c r="N28" s="183"/>
    </x:row>
    <x:row r="29">
      <x:c r="A29" s="185" t="str">
        <x:v>Tech Pulse</x:v>
      </x:c>
      <x:c r="B29" s="185" t="str">
        <x:v>Animación de perfil Pro</x:v>
      </x:c>
      <x:c r="C29" s="315" t="n">
        <x:v>95</x:v>
      </x:c>
      <x:c r="D29" s="316" t="n">
        <x:v>60</x:v>
      </x:c>
      <x:c r="E29" s="225" t="n">
        <x:f>IFERROR(D29/SUMIF($A$14:$A$37,A29,$D$14:$D$37),0)</x:f>
        <x:v>0.06</x:v>
      </x:c>
      <x:c r="F29" s="185" t="str">
        <x:v>raro</x:v>
      </x:c>
      <x:c r="G29" s="224" t="n">
        <x:f>C29*E29</x:f>
        <x:v>5.7</x:v>
      </x:c>
      <x:c r="H29" s="185" t="str">
        <x:v>config/cajas.php (V5)</x:v>
      </x:c>
      <x:c r="I29" s="183"/>
      <x:c r="J29" s="183"/>
      <x:c r="K29" s="183"/>
      <x:c r="L29" s="183"/>
      <x:c r="M29" s="183"/>
      <x:c r="N29" s="183"/>
    </x:row>
    <x:row r="30">
      <x:c r="A30" s="185" t="str">
        <x:v>Tech Pulse</x:v>
      </x:c>
      <x:c r="B30" s="185" t="str">
        <x:v>Tema de interfaz Tablet</x:v>
      </x:c>
      <x:c r="C30" s="315" t="n">
        <x:v>220</x:v>
      </x:c>
      <x:c r="D30" s="316" t="n">
        <x:v>9</x:v>
      </x:c>
      <x:c r="E30" s="225" t="n">
        <x:f>IFERROR(D30/SUMIF($A$14:$A$37,A30,$D$14:$D$37),0)</x:f>
        <x:v>0.009</x:v>
      </x:c>
      <x:c r="F30" s="185" t="str">
        <x:v>epico</x:v>
      </x:c>
      <x:c r="G30" s="224" t="n">
        <x:f>C30*E30</x:f>
        <x:v>1.9799999999999998</x:v>
      </x:c>
      <x:c r="H30" s="185" t="str">
        <x:v>config/cajas.php (V5)</x:v>
      </x:c>
      <x:c r="I30" s="183"/>
      <x:c r="J30" s="183"/>
      <x:c r="K30" s="183"/>
      <x:c r="L30" s="183"/>
      <x:c r="M30" s="183"/>
      <x:c r="N30" s="183"/>
    </x:row>
    <x:row r="31">
      <x:c r="A31" s="185" t="str">
        <x:v>Tech Pulse</x:v>
      </x:c>
      <x:c r="B31" s="185" t="str">
        <x:v>Efecto legendario Ultralight</x:v>
      </x:c>
      <x:c r="C31" s="315" t="n">
        <x:v>850</x:v>
      </x:c>
      <x:c r="D31" s="316" t="n">
        <x:v>1</x:v>
      </x:c>
      <x:c r="E31" s="225" t="n">
        <x:f>IFERROR(D31/SUMIF($A$14:$A$37,A31,$D$14:$D$37),0)</x:f>
        <x:v>0.001</x:v>
      </x:c>
      <x:c r="F31" s="185" t="str">
        <x:v>legendario</x:v>
      </x:c>
      <x:c r="G31" s="224" t="n">
        <x:f>C31*E31</x:f>
        <x:v>0.85</x:v>
      </x:c>
      <x:c r="H31" s="185" t="str">
        <x:v>config/cajas.php (V5)</x:v>
      </x:c>
      <x:c r="I31" s="183"/>
      <x:c r="J31" s="183"/>
      <x:c r="K31" s="183"/>
      <x:c r="L31" s="183"/>
      <x:c r="M31" s="183"/>
      <x:c r="N31" s="183"/>
    </x:row>
    <x:row r="32">
      <x:c r="A32" s="185" t="str">
        <x:v>Luxury Black</x:v>
      </x:c>
      <x:c r="B32" s="185" t="str">
        <x:v>Marco de perfil Obsidiana</x:v>
      </x:c>
      <x:c r="C32" s="315" t="n">
        <x:v>18</x:v>
      </x:c>
      <x:c r="D32" s="316" t="n">
        <x:v>550</x:v>
      </x:c>
      <x:c r="E32" s="225" t="n">
        <x:f>IFERROR(D32/SUMIF($A$14:$A$37,A32,$D$14:$D$37),0)</x:f>
        <x:v>0.55</x:v>
      </x:c>
      <x:c r="F32" s="185" t="str">
        <x:v>comun</x:v>
      </x:c>
      <x:c r="G32" s="224" t="n">
        <x:f>C32*E32</x:f>
        <x:v>9.9</x:v>
      </x:c>
      <x:c r="H32" s="185" t="str">
        <x:v>config/cajas.php (V5)</x:v>
      </x:c>
      <x:c r="I32" s="183"/>
      <x:c r="J32" s="183"/>
      <x:c r="K32" s="183"/>
      <x:c r="L32" s="183"/>
      <x:c r="M32" s="183"/>
      <x:c r="N32" s="183"/>
    </x:row>
    <x:row r="33">
      <x:c r="A33" s="185" t="str">
        <x:v>Luxury Black</x:v>
      </x:c>
      <x:c r="B33" s="185" t="str">
        <x:v>Avatar polarizado</x:v>
      </x:c>
      <x:c r="C33" s="315" t="n">
        <x:v>38</x:v>
      </x:c>
      <x:c r="D33" s="316" t="n">
        <x:v>250</x:v>
      </x:c>
      <x:c r="E33" s="225" t="n">
        <x:f>IFERROR(D33/SUMIF($A$14:$A$37,A33,$D$14:$D$37),0)</x:f>
        <x:v>0.25</x:v>
      </x:c>
      <x:c r="F33" s="185" t="str">
        <x:v>poco_comun</x:v>
      </x:c>
      <x:c r="G33" s="224" t="n">
        <x:f>C33*E33</x:f>
        <x:v>9.5</x:v>
      </x:c>
      <x:c r="H33" s="185" t="str">
        <x:v>config/cajas.php (V5)</x:v>
      </x:c>
      <x:c r="I33" s="183"/>
      <x:c r="J33" s="183"/>
      <x:c r="K33" s="183"/>
      <x:c r="L33" s="183"/>
      <x:c r="M33" s="183"/>
      <x:c r="N33" s="183"/>
    </x:row>
    <x:row r="34">
      <x:c r="A34" s="185" t="str">
        <x:v>Luxury Black</x:v>
      </x:c>
      <x:c r="B34" s="185" t="str">
        <x:v>Aura de autor</x:v>
      </x:c>
      <x:c r="C34" s="315" t="n">
        <x:v>75</x:v>
      </x:c>
      <x:c r="D34" s="316" t="n">
        <x:v>125</x:v>
      </x:c>
      <x:c r="E34" s="225" t="n">
        <x:f>IFERROR(D34/SUMIF($A$14:$A$37,A34,$D$14:$D$37),0)</x:f>
        <x:v>0.125</x:v>
      </x:c>
      <x:c r="F34" s="185" t="str">
        <x:v>raro</x:v>
      </x:c>
      <x:c r="G34" s="224" t="n">
        <x:f>C34*E34</x:f>
        <x:v>9.375</x:v>
      </x:c>
      <x:c r="H34" s="185" t="str">
        <x:v>config/cajas.php (V5)</x:v>
      </x:c>
      <x:c r="I34" s="183"/>
      <x:c r="J34" s="183"/>
      <x:c r="K34" s="183"/>
      <x:c r="L34" s="183"/>
      <x:c r="M34" s="183"/>
      <x:c r="N34" s="183"/>
    </x:row>
    <x:row r="35">
      <x:c r="A35" s="185" t="str">
        <x:v>Luxury Black</x:v>
      </x:c>
      <x:c r="B35" s="185" t="str">
        <x:v>Reloj holográfico</x:v>
      </x:c>
      <x:c r="C35" s="315" t="n">
        <x:v>180</x:v>
      </x:c>
      <x:c r="D35" s="316" t="n">
        <x:v>60</x:v>
      </x:c>
      <x:c r="E35" s="225" t="n">
        <x:f>IFERROR(D35/SUMIF($A$14:$A$37,A35,$D$14:$D$37),0)</x:f>
        <x:v>0.06</x:v>
      </x:c>
      <x:c r="F35" s="185" t="str">
        <x:v>raro</x:v>
      </x:c>
      <x:c r="G35" s="224" t="n">
        <x:f>C35*E35</x:f>
        <x:v>10.799999999999999</x:v>
      </x:c>
      <x:c r="H35" s="185" t="str">
        <x:v>config/cajas.php (V5)</x:v>
      </x:c>
      <x:c r="I35" s="183"/>
      <x:c r="J35" s="183"/>
      <x:c r="K35" s="183"/>
      <x:c r="L35" s="183"/>
      <x:c r="M35" s="183"/>
      <x:c r="N35" s="183"/>
    </x:row>
    <x:row r="36">
      <x:c r="A36" s="185" t="str">
        <x:v>Luxury Black</x:v>
      </x:c>
      <x:c r="B36" s="185" t="str">
        <x:v>Escena premium</x:v>
      </x:c>
      <x:c r="C36" s="315" t="n">
        <x:v>450</x:v>
      </x:c>
      <x:c r="D36" s="316" t="n">
        <x:v>14</x:v>
      </x:c>
      <x:c r="E36" s="225" t="n">
        <x:f>IFERROR(D36/SUMIF($A$14:$A$37,A36,$D$14:$D$37),0)</x:f>
        <x:v>0.014</x:v>
      </x:c>
      <x:c r="F36" s="185" t="str">
        <x:v>epico</x:v>
      </x:c>
      <x:c r="G36" s="224" t="n">
        <x:f>C36*E36</x:f>
        <x:v>6.3</x:v>
      </x:c>
      <x:c r="H36" s="185" t="str">
        <x:v>config/cajas.php (V5)</x:v>
      </x:c>
      <x:c r="I36" s="183"/>
      <x:c r="J36" s="183"/>
      <x:c r="K36" s="183"/>
      <x:c r="L36" s="183"/>
      <x:c r="M36" s="183"/>
      <x:c r="N36" s="183"/>
    </x:row>
    <x:row r="37">
      <x:c r="A37" s="185" t="str">
        <x:v>Luxury Black</x:v>
      </x:c>
      <x:c r="B37" s="185" t="str">
        <x:v>Efecto de lujo legendario</x:v>
      </x:c>
      <x:c r="C37" s="315" t="n">
        <x:v>1800</x:v>
      </x:c>
      <x:c r="D37" s="316" t="n">
        <x:v>1</x:v>
      </x:c>
      <x:c r="E37" s="225" t="n">
        <x:f>IFERROR(D37/SUMIF($A$14:$A$37,A37,$D$14:$D$37),0)</x:f>
        <x:v>0.001</x:v>
      </x:c>
      <x:c r="F37" s="185" t="str">
        <x:v>legendario</x:v>
      </x:c>
      <x:c r="G37" s="224" t="n">
        <x:f>C37*E37</x:f>
        <x:v>1.8</x:v>
      </x:c>
      <x:c r="H37" s="185" t="str">
        <x:v>config/cajas.php (V5)</x:v>
      </x:c>
      <x:c r="I37" s="183"/>
      <x:c r="J37" s="183"/>
      <x:c r="K37" s="183"/>
      <x:c r="L37" s="183"/>
      <x:c r="M37" s="183"/>
      <x:c r="N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 ht="22" customHeight="1">
      <x:c r="A39" s="300" t="str">
        <x:v>Conclusión económica</x:v>
      </x:c>
      <x:c r="B39" s="300"/>
      <x:c r="C39" s="300"/>
      <x:c r="D39" s="300"/>
      <x:c r="E39" s="300"/>
      <x:c r="F39" s="300"/>
      <x:c r="G39" s="300"/>
      <x:c r="H39" s="300"/>
      <x:c r="I39" s="183"/>
      <x:c r="J39" s="183"/>
      <x:c r="K39" s="183"/>
      <x:c r="L39" s="183"/>
      <x:c r="M39" s="183"/>
      <x:c r="N39" s="183"/>
    </x:row>
    <x:row r="40">
      <x:c r="A40" s="305" t="str">
        <x:v>Las cuatro cajas tienen un retorno virtual aproximado del 95–96 %. El código actual transforma sus premios en cosméticos digitales y evita que creen saldo o una obligación monetaria. Para el plan real, el coste de premios de caja se interpreta como coste de creación, soporte y operación del contenido digital, no como el valor virtual mostrado al usuario. Las cajas pagadas permanecen desactivadas por defecto.</x:v>
      </x:c>
      <x:c r="B40" s="305"/>
      <x:c r="C40" s="305"/>
      <x:c r="D40" s="305"/>
      <x:c r="E40" s="305"/>
      <x:c r="F40" s="305"/>
      <x:c r="G40" s="305"/>
      <x:c r="H40" s="305"/>
      <x:c r="I40" s="183"/>
      <x:c r="J40" s="183"/>
      <x:c r="K40" s="183"/>
      <x:c r="L40" s="183"/>
      <x:c r="M40" s="183"/>
      <x:c r="N40" s="183"/>
    </x:row>
    <x:row r="41">
      <x:c r="A41" s="305"/>
      <x:c r="B41" s="305"/>
      <x:c r="C41" s="305"/>
      <x:c r="D41" s="305"/>
      <x:c r="E41" s="305"/>
      <x:c r="F41" s="305"/>
      <x:c r="G41" s="305"/>
      <x:c r="H41" s="305"/>
      <x:c r="I41" s="183"/>
      <x:c r="J41" s="183"/>
      <x:c r="K41" s="183"/>
      <x:c r="L41" s="183"/>
      <x:c r="M41" s="183"/>
      <x:c r="N41" s="183"/>
    </x:row>
    <x:row r="42">
      <x:c r="A42" s="305"/>
      <x:c r="B42" s="305"/>
      <x:c r="C42" s="305"/>
      <x:c r="D42" s="305"/>
      <x:c r="E42" s="305"/>
      <x:c r="F42" s="305"/>
      <x:c r="G42" s="305"/>
      <x:c r="H42" s="305"/>
      <x:c r="I42" s="183"/>
      <x:c r="J42" s="183"/>
      <x:c r="K42" s="183"/>
      <x:c r="L42" s="183"/>
      <x:c r="M42" s="183"/>
      <x:c r="N42" s="183"/>
    </x:row>
    <x:row r="43">
      <x:c r="A43" s="305"/>
      <x:c r="B43" s="305"/>
      <x:c r="C43" s="305"/>
      <x:c r="D43" s="305"/>
      <x:c r="E43" s="305"/>
      <x:c r="F43" s="305"/>
      <x:c r="G43" s="305"/>
      <x:c r="H43" s="305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G1"/>
    <x:mergeCell ref="A2:G2"/>
    <x:mergeCell ref="A11:G11"/>
    <x:mergeCell ref="A39:G39"/>
    <x:mergeCell ref="A40:G43"/>
    <x:mergeCell ref="A11:H11"/>
    <x:mergeCell ref="A39:H39"/>
    <x:mergeCell ref="A40:H43"/>
  </x:mergeCells>
  <x:conditionalFormatting sqref="E5:G8">
    <x:cfRule type="expression" dxfId="6" priority="1">
      <x:formula>E5&gt;1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45" hidden="0" customWidth="1"/>
    <x:col min="4" max="4" width="28" hidden="0" customWidth="1"/>
    <x:col min="5" max="5" width="20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</x:cols>
  <x:sheetData>
    <x:row r="1" ht="32" customHeight="1">
      <x:c r="A1" s="5" t="str">
        <x:v>Plan de acción empresarial - Lootra V5</x:v>
      </x:c>
      <x:c r="B1" s="5"/>
      <x:c r="C1" s="5"/>
      <x:c r="D1" s="5"/>
      <x:c r="E1" s="5"/>
      <x:c r="F1" s="5"/>
      <x:c r="G1" s="5"/>
      <x:c r="H1" s="5"/>
      <x:c r="I1" s="5"/>
      <x:c r="J1" s="183"/>
      <x:c r="K1" s="183"/>
      <x:c r="L1" s="183"/>
      <x:c r="M1" s="183"/>
      <x:c r="N1" s="183"/>
    </x:row>
    <x:row r="2" ht="34" customHeight="1">
      <x:c r="A2" s="13" t="str">
        <x:v>Prioriza validación de mercado y monetización real. La arquitectura económica demo ya está desarrollada.</x:v>
      </x:c>
      <x:c r="B2" s="13"/>
      <x:c r="C2" s="13"/>
      <x:c r="D2" s="13"/>
      <x:c r="E2" s="13"/>
      <x:c r="F2" s="13"/>
      <x:c r="G2" s="13"/>
      <x:c r="H2" s="13"/>
      <x:c r="I2" s="1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30" t="str">
        <x:v>Fase</x:v>
      </x:c>
      <x:c r="B4" s="30" t="str">
        <x:v>Acción</x:v>
      </x:c>
      <x:c r="C4" s="30" t="str">
        <x:v>Objetivo / entregable</x:v>
      </x:c>
      <x:c r="D4" s="30" t="str">
        <x:v>KPI</x:v>
      </x:c>
      <x:c r="E4" s="30" t="str">
        <x:v>Responsable</x:v>
      </x:c>
      <x:c r="F4" s="30" t="str">
        <x:v>Mes inicio</x:v>
      </x:c>
      <x:c r="G4" s="30" t="str">
        <x:v>Mes fin</x:v>
      </x:c>
      <x:c r="H4" s="30" t="str">
        <x:v>Presupuesto</x:v>
      </x:c>
      <x:c r="I4" s="30" t="str">
        <x:v>Estado</x:v>
      </x:c>
      <x:c r="J4" s="183"/>
      <x:c r="K4" s="183"/>
      <x:c r="L4" s="183"/>
      <x:c r="M4" s="183"/>
      <x:c r="N4" s="183"/>
    </x:row>
    <x:row r="5">
      <x:c r="A5" s="237" t="n">
        <x:v>1</x:v>
      </x:c>
      <x:c r="B5" s="185" t="str">
        <x:v>Cerrar la demo técnica</x:v>
      </x:c>
      <x:c r="C5" s="185" t="str">
        <x:v>Validar migraciones, ledger, tesorería, retiradas y simulador desde una base limpia.</x:v>
      </x:c>
      <x:c r="D5" s="185" t="str">
        <x:v>Suite y recorrido final superados</x:v>
      </x:c>
      <x:c r="E5" s="185" t="str">
        <x:v>Desarrollo / QA</x:v>
      </x:c>
      <x:c r="F5" s="238" t="n">
        <x:v>1</x:v>
      </x:c>
      <x:c r="G5" s="238" t="n">
        <x:v>2</x:v>
      </x:c>
      <x:c r="H5" s="307" t="n">
        <x:v>1600</x:v>
      </x:c>
      <x:c r="I5" s="183" t="str">
        <x:v>En curso</x:v>
      </x:c>
      <x:c r="J5" s="183"/>
      <x:c r="K5" s="183"/>
      <x:c r="L5" s="183"/>
      <x:c r="M5" s="183"/>
      <x:c r="N5" s="183"/>
    </x:row>
    <x:row r="6">
      <x:c r="A6" s="237" t="n">
        <x:v>1</x:v>
      </x:c>
      <x:c r="B6" s="185" t="str">
        <x:v>Optimizar recursos visuales</x:v>
      </x:c>
      <x:c r="C6" s="185" t="str">
        <x:v>Comprimir, lazy loading, caché y CDN para aproximadamente 64,9 MB.</x:v>
      </x:c>
      <x:c r="D6" s="185" t="str">
        <x:v>Carga inicial y FPS dentro de objetivo</x:v>
      </x:c>
      <x:c r="E6" s="185" t="str">
        <x:v>Desarrollo</x:v>
      </x:c>
      <x:c r="F6" s="238" t="n">
        <x:v>1</x:v>
      </x:c>
      <x:c r="G6" s="238" t="n">
        <x:v>2</x:v>
      </x:c>
      <x:c r="H6" s="307" t="n">
        <x:v>1200</x:v>
      </x:c>
      <x:c r="I6" s="183" t="str">
        <x:v>En curso</x:v>
      </x:c>
      <x:c r="J6" s="183"/>
      <x:c r="K6" s="183"/>
      <x:c r="L6" s="183"/>
      <x:c r="M6" s="183"/>
      <x:c r="N6" s="183"/>
    </x:row>
    <x:row r="7">
      <x:c r="A7" s="237" t="n">
        <x:v>1</x:v>
      </x:c>
      <x:c r="B7" s="185" t="str">
        <x:v>Revisión legal del posicionamiento</x:v>
      </x:c>
      <x:c r="C7" s="185" t="str">
        <x:v>Confirmar que se presenta como demo y definir límites de publicidad, cajas y afiliación.</x:v>
      </x:c>
      <x:c r="D7" s="185" t="str">
        <x:v>Informe de alcance aprobado</x:v>
      </x:c>
      <x:c r="E7" s="185" t="str">
        <x:v>Fundador + asesor</x:v>
      </x:c>
      <x:c r="F7" s="238" t="n">
        <x:v>1</x:v>
      </x:c>
      <x:c r="G7" s="238" t="n">
        <x:v>2</x:v>
      </x:c>
      <x:c r="H7" s="307" t="n">
        <x:v>3000</x:v>
      </x:c>
      <x:c r="I7" s="183" t="str">
        <x:v>Pendiente</x:v>
      </x:c>
      <x:c r="J7" s="183"/>
      <x:c r="K7" s="183"/>
      <x:c r="L7" s="183"/>
      <x:c r="M7" s="183"/>
      <x:c r="N7" s="183"/>
    </x:row>
    <x:row r="8">
      <x:c r="A8" s="237" t="n">
        <x:v>1</x:v>
      </x:c>
      <x:c r="B8" s="185" t="str">
        <x:v>Privacidad y condiciones</x:v>
      </x:c>
      <x:c r="C8" s="185" t="str">
        <x:v>RGPD, cookies, marketing consent, términos, edad y aviso EUR Demo.</x:v>
      </x:c>
      <x:c r="D8" s="185" t="str">
        <x:v>Documentación publicada</x:v>
      </x:c>
      <x:c r="E8" s="185" t="str">
        <x:v>Legal</x:v>
      </x:c>
      <x:c r="F8" s="238" t="n">
        <x:v>1</x:v>
      </x:c>
      <x:c r="G8" s="238" t="n">
        <x:v>2</x:v>
      </x:c>
      <x:c r="H8" s="307" t="n">
        <x:v>1800</x:v>
      </x:c>
      <x:c r="I8" s="183" t="str">
        <x:v>Pendiente</x:v>
      </x:c>
      <x:c r="J8" s="183"/>
      <x:c r="K8" s="183"/>
      <x:c r="L8" s="183"/>
      <x:c r="M8" s="183"/>
      <x:c r="N8" s="183"/>
    </x:row>
    <x:row r="9">
      <x:c r="A9" s="237" t="n">
        <x:v>2</x:v>
      </x:c>
      <x:c r="B9" s="185" t="str">
        <x:v>Analítica de producto real</x:v>
      </x:c>
      <x:c r="C9" s="185" t="str">
        <x:v>Medir registro, verificación, activación, retención, partidas y embudos.</x:v>
      </x:c>
      <x:c r="D9" s="185" t="str">
        <x:v>Dashboard con KPI de negocio</x:v>
      </x:c>
      <x:c r="E9" s="185" t="str">
        <x:v>Producto / Desarrollo</x:v>
      </x:c>
      <x:c r="F9" s="238" t="n">
        <x:v>2</x:v>
      </x:c>
      <x:c r="G9" s="238" t="n">
        <x:v>3</x:v>
      </x:c>
      <x:c r="H9" s="307" t="n">
        <x:v>1000</x:v>
      </x:c>
      <x:c r="I9" s="183" t="str">
        <x:v>En curso</x:v>
      </x:c>
      <x:c r="J9" s="183"/>
      <x:c r="K9" s="183"/>
      <x:c r="L9" s="183"/>
      <x:c r="M9" s="183"/>
      <x:c r="N9" s="183"/>
    </x:row>
    <x:row r="10">
      <x:c r="A10" s="237" t="n">
        <x:v>2</x:v>
      </x:c>
      <x:c r="B10" s="185" t="str">
        <x:v>Pruebas con usuarios</x:v>
      </x:c>
      <x:c r="C10" s="185" t="str">
        <x:v>Entrevistas y sesiones moderadas con adultos.</x:v>
      </x:c>
      <x:c r="D10" s="185" t="str">
        <x:v>20 entrevistas + 50 testers</x:v>
      </x:c>
      <x:c r="E10" s="185" t="str">
        <x:v>Producto</x:v>
      </x:c>
      <x:c r="F10" s="238" t="n">
        <x:v>2</x:v>
      </x:c>
      <x:c r="G10" s="238" t="n">
        <x:v>3</x:v>
      </x:c>
      <x:c r="H10" s="307" t="n">
        <x:v>600</x:v>
      </x:c>
      <x:c r="I10" s="183" t="str">
        <x:v>Pendiente</x:v>
      </x:c>
      <x:c r="J10" s="183"/>
      <x:c r="K10" s="183"/>
      <x:c r="L10" s="183"/>
      <x:c r="M10" s="183"/>
      <x:c r="N10" s="183"/>
    </x:row>
    <x:row r="11">
      <x:c r="A11" s="237" t="n">
        <x:v>2</x:v>
      </x:c>
      <x:c r="B11" s="185" t="str">
        <x:v>Prueba de precio premium</x:v>
      </x:c>
      <x:c r="C11" s="185" t="str">
        <x:v>Comparar 4,99 €, 5,99 € y 6,99 € sin cobro real inicialmente.</x:v>
      </x:c>
      <x:c r="D11" s="185" t="str">
        <x:v>Conversión e intención de compra</x:v>
      </x:c>
      <x:c r="E11" s="185" t="str">
        <x:v>Marketing</x:v>
      </x:c>
      <x:c r="F11" s="238" t="n">
        <x:v>3</x:v>
      </x:c>
      <x:c r="G11" s="238" t="n">
        <x:v>4</x:v>
      </x:c>
      <x:c r="H11" s="307" t="n">
        <x:v>700</x:v>
      </x:c>
      <x:c r="I11" s="183" t="str">
        <x:v>Pendiente</x:v>
      </x:c>
      <x:c r="J11" s="183"/>
      <x:c r="K11" s="183"/>
      <x:c r="L11" s="183"/>
      <x:c r="M11" s="183"/>
      <x:c r="N11" s="183"/>
    </x:row>
    <x:row r="12">
      <x:c r="A12" s="237" t="n">
        <x:v>2</x:v>
      </x:c>
      <x:c r="B12" s="185" t="str">
        <x:v>Piloto de campaña</x:v>
      </x:c>
      <x:c r="C12" s="185" t="str">
        <x:v>Utilizar retos, rankings y newsletter con una comunidad o creador.</x:v>
      </x:c>
      <x:c r="D12" s="185" t="str">
        <x:v>CAC, registros y retención</x:v>
      </x:c>
      <x:c r="E12" s="185" t="str">
        <x:v>Marketing</x:v>
      </x:c>
      <x:c r="F12" s="238" t="n">
        <x:v>3</x:v>
      </x:c>
      <x:c r="G12" s="238" t="n">
        <x:v>4</x:v>
      </x:c>
      <x:c r="H12" s="307" t="n">
        <x:v>1400</x:v>
      </x:c>
      <x:c r="I12" s="183" t="str">
        <x:v>Pendiente</x:v>
      </x:c>
      <x:c r="J12" s="183"/>
      <x:c r="K12" s="183"/>
      <x:c r="L12" s="183"/>
      <x:c r="M12" s="183"/>
      <x:c r="N12" s="183"/>
    </x:row>
    <x:row r="13">
      <x:c r="A13" s="237" t="n">
        <x:v>3</x:v>
      </x:c>
      <x:c r="B13" s="185" t="str">
        <x:v>MVP premium</x:v>
      </x:c>
      <x:c r="C13" s="185" t="str">
        <x:v>Experiencia sin publicidad, cosméticos, temas y estadísticas.</x:v>
      </x:c>
      <x:c r="D13" s="185" t="str">
        <x:v>Conversión premium</x:v>
      </x:c>
      <x:c r="E13" s="185" t="str">
        <x:v>Desarrollo</x:v>
      </x:c>
      <x:c r="F13" s="238" t="n">
        <x:v>4</x:v>
      </x:c>
      <x:c r="G13" s="238" t="n">
        <x:v>6</x:v>
      </x:c>
      <x:c r="H13" s="307" t="n">
        <x:v>3800</x:v>
      </x:c>
      <x:c r="I13" s="183" t="str">
        <x:v>Pendiente</x:v>
      </x:c>
      <x:c r="J13" s="183"/>
      <x:c r="K13" s="183"/>
      <x:c r="L13" s="183"/>
      <x:c r="M13" s="183"/>
      <x:c r="N13" s="183"/>
    </x:row>
    <x:row r="14">
      <x:c r="A14" s="237" t="n">
        <x:v>3</x:v>
      </x:c>
      <x:c r="B14" s="185" t="str">
        <x:v>Oferta de patrocinio</x:v>
      </x:c>
      <x:c r="C14" s="185" t="str">
        <x:v>Crear formatos, tarifas, métricas y un informe final para marcas.</x:v>
      </x:c>
      <x:c r="D14" s="185" t="str">
        <x:v>1 patrocinador piloto</x:v>
      </x:c>
      <x:c r="E14" s="185" t="str">
        <x:v>Comercial</x:v>
      </x:c>
      <x:c r="F14" s="238" t="n">
        <x:v>4</x:v>
      </x:c>
      <x:c r="G14" s="238" t="n">
        <x:v>6</x:v>
      </x:c>
      <x:c r="H14" s="307" t="n">
        <x:v>1200</x:v>
      </x:c>
      <x:c r="I14" s="183" t="str">
        <x:v>Pendiente</x:v>
      </x:c>
      <x:c r="J14" s="183"/>
      <x:c r="K14" s="183"/>
      <x:c r="L14" s="183"/>
      <x:c r="M14" s="183"/>
      <x:c r="N14" s="183"/>
    </x:row>
    <x:row r="15">
      <x:c r="A15" s="237" t="n">
        <x:v>3</x:v>
      </x:c>
      <x:c r="B15" s="185" t="str">
        <x:v>Propuesta B2B</x:v>
      </x:c>
      <x:c r="C15" s="185" t="str">
        <x:v>Paquete de Lootra Originals, campañas y simulación para terceros.</x:v>
      </x:c>
      <x:c r="D15" s="185" t="str">
        <x:v>3 reuniones y 1 propuesta</x:v>
      </x:c>
      <x:c r="E15" s="185" t="str">
        <x:v>Fundador / Comercial</x:v>
      </x:c>
      <x:c r="F15" s="238" t="n">
        <x:v>5</x:v>
      </x:c>
      <x:c r="G15" s="238" t="n">
        <x:v>7</x:v>
      </x:c>
      <x:c r="H15" s="307" t="n">
        <x:v>1800</x:v>
      </x:c>
      <x:c r="I15" s="183" t="str">
        <x:v>Pendiente</x:v>
      </x:c>
      <x:c r="J15" s="183"/>
      <x:c r="K15" s="183"/>
      <x:c r="L15" s="183"/>
      <x:c r="M15" s="183"/>
      <x:c r="N15" s="183"/>
    </x:row>
    <x:row r="16">
      <x:c r="A16" s="237" t="n">
        <x:v>4</x:v>
      </x:c>
      <x:c r="B16" s="185" t="str">
        <x:v>Escalar adquisición</x:v>
      </x:c>
      <x:c r="C16" s="185" t="str">
        <x:v>Invertir solo cuando retención, CAC y conversión cumplan el escenario.</x:v>
      </x:c>
      <x:c r="D16" s="185" t="str">
        <x:v>LTV/CAC superior a 3</x:v>
      </x:c>
      <x:c r="E16" s="185" t="str">
        <x:v>Marketing</x:v>
      </x:c>
      <x:c r="F16" s="238" t="n">
        <x:v>7</x:v>
      </x:c>
      <x:c r="G16" s="238" t="n">
        <x:v>12</x:v>
      </x:c>
      <x:c r="H16" s="307" t="n">
        <x:v>6500</x:v>
      </x:c>
      <x:c r="I16" s="183" t="str">
        <x:v>Pendiente</x:v>
      </x:c>
      <x:c r="J16" s="183"/>
      <x:c r="K16" s="183"/>
      <x:c r="L16" s="183"/>
      <x:c r="M16" s="183"/>
      <x:c r="N16" s="183"/>
    </x:row>
    <x:row r="17">
      <x:c r="A17" s="183" t="n">
        <x:v>4</x:v>
      </x:c>
      <x:c r="B17" s="185" t="str">
        <x:v>Soporte y comunidad</x:v>
      </x:c>
      <x:c r="C17" s="185" t="str">
        <x:v>Proceso de incidencias, moderación, newsletter y calendario de contenidos.</x:v>
      </x:c>
      <x:c r="D17" s="185" t="str">
        <x:v>SLA y retención mensual</x:v>
      </x:c>
      <x:c r="E17" s="185" t="str">
        <x:v>Operaciones</x:v>
      </x:c>
      <x:c r="F17" s="183" t="n">
        <x:v>6</x:v>
      </x:c>
      <x:c r="G17" s="183" t="n">
        <x:v>9</x:v>
      </x:c>
      <x:c r="H17" s="307" t="n">
        <x:v>2800</x:v>
      </x:c>
      <x:c r="I17" s="183" t="str">
        <x:v>Pendiente</x:v>
      </x:c>
      <x:c r="J17" s="183"/>
      <x:c r="K17" s="183"/>
      <x:c r="L17" s="183"/>
      <x:c r="M17" s="183"/>
      <x:c r="N17" s="183"/>
    </x:row>
    <x:row r="18">
      <x:c r="A18" s="183" t="n">
        <x:v>4</x:v>
      </x:c>
      <x:c r="B18" s="185" t="str">
        <x:v>Revisar cosméticos y cajas</x:v>
      </x:c>
      <x:c r="C18" s="185" t="str">
        <x:v>Mantener premios no canjeables y validar percepción, precio y cumplimiento.</x:v>
      </x:c>
      <x:c r="D18" s="185" t="str">
        <x:v>Economía y mensajes aprobados</x:v>
      </x:c>
      <x:c r="E18" s="185" t="str">
        <x:v>Producto + legal</x:v>
      </x:c>
      <x:c r="F18" s="183" t="n">
        <x:v>6</x:v>
      </x:c>
      <x:c r="G18" s="21" t="n">
        <x:v>8</x:v>
      </x:c>
      <x:c r="H18" s="307" t="n">
        <x:v>1600</x:v>
      </x:c>
      <x:c r="I18" s="183" t="str">
        <x:v>Pendiente</x:v>
      </x:c>
      <x:c r="J18" s="183"/>
      <x:c r="K18" s="183"/>
      <x:c r="L18" s="183"/>
      <x:c r="M18" s="183"/>
      <x:c r="N18" s="183"/>
    </x:row>
    <x:row r="19">
      <x:c r="A19" s="183"/>
      <x:c r="B19" s="183"/>
      <x:c r="C19" s="183"/>
      <x:c r="D19" s="183"/>
      <x:c r="E19" s="183"/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>
      <x:c r="A20" s="183"/>
      <x:c r="B20" s="183"/>
      <x:c r="C20" s="183"/>
      <x:c r="D20" s="183"/>
      <x:c r="E20" s="183"/>
      <x:c r="F20" s="183"/>
      <x:c r="G20" s="300" t="str">
        <x:v>Presupuesto total</x:v>
      </x:c>
      <x:c r="H20" s="261" t="n">
        <x:f>SUM(H5:H18)</x:f>
        <x:v>29000</x:v>
      </x:c>
      <x:c r="I20" s="183"/>
      <x:c r="J20" s="183"/>
      <x:c r="K20" s="183"/>
      <x:c r="L20" s="183"/>
      <x:c r="M20" s="183"/>
      <x:c r="N20" s="183"/>
    </x:row>
    <x:row r="21">
      <x:c r="A21" s="183"/>
      <x:c r="B21" s="183"/>
      <x:c r="C21" s="183"/>
      <x:c r="D21" s="183"/>
      <x:c r="E21" s="183"/>
      <x:c r="F21" s="183"/>
      <x:c r="G21" s="183"/>
      <x:c r="H21" s="183"/>
      <x:c r="I21" s="183"/>
      <x:c r="J21" s="183"/>
      <x:c r="K21" s="183"/>
      <x:c r="L21" s="183"/>
      <x:c r="M21" s="183"/>
      <x:c r="N21" s="183"/>
    </x:row>
    <x:row r="22">
      <x:c r="A22" s="183"/>
      <x:c r="B22" s="183"/>
      <x:c r="C22" s="183"/>
      <x:c r="D22" s="183"/>
      <x:c r="E22" s="183"/>
      <x:c r="F22" s="183"/>
      <x:c r="G22" s="183"/>
      <x:c r="H22" s="183"/>
      <x:c r="I22" s="183"/>
      <x:c r="J22" s="183"/>
      <x:c r="K22" s="183"/>
      <x:c r="L22" s="183"/>
      <x:c r="M22" s="183"/>
      <x:c r="N22" s="183"/>
    </x:row>
    <x:row r="23">
      <x:c r="A23" s="183"/>
      <x:c r="B23" s="183"/>
      <x:c r="C23" s="183"/>
      <x:c r="D23" s="183"/>
      <x:c r="E23" s="183"/>
      <x:c r="F23" s="183"/>
      <x:c r="G23" s="183"/>
      <x:c r="H23" s="183"/>
      <x:c r="I23" s="183"/>
      <x:c r="J23" s="183"/>
      <x:c r="K23" s="183"/>
      <x:c r="L23" s="183"/>
      <x:c r="M23" s="183"/>
      <x:c r="N23" s="183"/>
    </x:row>
    <x:row r="24">
      <x:c r="A24" s="183"/>
      <x:c r="B24" s="183"/>
      <x:c r="C24" s="183"/>
      <x:c r="D24" s="183"/>
      <x:c r="E24" s="183"/>
      <x:c r="F24" s="183"/>
      <x:c r="G24" s="183"/>
      <x:c r="H24" s="183"/>
      <x:c r="I24" s="183"/>
      <x:c r="J24" s="183"/>
      <x:c r="K24" s="183"/>
      <x:c r="L24" s="183"/>
      <x:c r="M24" s="183"/>
      <x:c r="N24" s="183"/>
    </x:row>
    <x:row r="25">
      <x:c r="A25" s="183"/>
      <x:c r="B25" s="183"/>
      <x:c r="C25" s="183"/>
      <x:c r="D25" s="183"/>
      <x:c r="E25" s="183"/>
      <x:c r="F25" s="183"/>
      <x:c r="G25" s="183"/>
      <x:c r="H25" s="183"/>
      <x:c r="I25" s="183"/>
      <x:c r="J25" s="183"/>
      <x:c r="K25" s="183"/>
      <x:c r="L25" s="183"/>
      <x:c r="M25" s="183"/>
      <x:c r="N25" s="183"/>
    </x:row>
    <x:row r="26">
      <x:c r="A26" s="183"/>
      <x:c r="B26" s="183"/>
      <x:c r="C26" s="183"/>
      <x:c r="D26" s="183"/>
      <x:c r="E26" s="183"/>
      <x:c r="F26" s="183"/>
      <x:c r="G26" s="183"/>
      <x:c r="H26" s="183"/>
      <x:c r="I26" s="183"/>
      <x:c r="J26" s="183"/>
      <x:c r="K26" s="183"/>
      <x:c r="L26" s="183"/>
      <x:c r="M26" s="183"/>
      <x:c r="N26" s="183"/>
    </x:row>
    <x:row r="27">
      <x:c r="A27" s="183"/>
      <x:c r="B27" s="183"/>
      <x:c r="C27" s="183"/>
      <x:c r="D27" s="183"/>
      <x:c r="E27" s="183"/>
      <x:c r="F27" s="183"/>
      <x:c r="G27" s="183"/>
      <x:c r="H27" s="183"/>
      <x:c r="I27" s="183"/>
      <x:c r="J27" s="183"/>
      <x:c r="K27" s="183"/>
      <x:c r="L27" s="183"/>
      <x:c r="M27" s="183"/>
      <x:c r="N27" s="183"/>
    </x:row>
    <x:row r="28">
      <x:c r="A28" s="183"/>
      <x:c r="B28" s="183"/>
      <x:c r="C28" s="183"/>
      <x:c r="D28" s="183"/>
      <x:c r="E28" s="183"/>
      <x:c r="F28" s="183"/>
      <x:c r="G28" s="183"/>
      <x:c r="H28" s="183"/>
      <x:c r="I28" s="183"/>
      <x:c r="J28" s="183"/>
      <x:c r="K28" s="183"/>
      <x:c r="L28" s="183"/>
      <x:c r="M28" s="183"/>
      <x:c r="N28" s="183"/>
    </x:row>
    <x:row r="29">
      <x:c r="A29" s="183"/>
      <x:c r="B29" s="183"/>
      <x:c r="C29" s="183"/>
      <x:c r="D29" s="183"/>
      <x:c r="E29" s="183"/>
      <x:c r="F29" s="183"/>
      <x:c r="G29" s="183"/>
      <x:c r="H29" s="183"/>
      <x:c r="I29" s="183"/>
      <x:c r="J29" s="183"/>
      <x:c r="K29" s="183"/>
      <x:c r="L29" s="183"/>
      <x:c r="M29" s="183"/>
      <x:c r="N29" s="183"/>
    </x:row>
    <x:row r="30">
      <x:c r="A30" s="183"/>
      <x:c r="B30" s="183"/>
      <x:c r="C30" s="183"/>
      <x:c r="D30" s="183"/>
      <x:c r="E30" s="183"/>
      <x:c r="F30" s="183"/>
      <x:c r="G30" s="183"/>
      <x:c r="H30" s="183"/>
      <x:c r="I30" s="183"/>
      <x:c r="J30" s="183"/>
      <x:c r="K30" s="183"/>
      <x:c r="L30" s="183"/>
      <x:c r="M30" s="183"/>
      <x:c r="N30" s="183"/>
    </x:row>
    <x:row r="31">
      <x:c r="A31" s="183"/>
      <x:c r="B31" s="183"/>
      <x:c r="C31" s="183"/>
      <x:c r="D31" s="183"/>
      <x:c r="E31" s="183"/>
      <x:c r="F31" s="183"/>
      <x:c r="G31" s="183"/>
      <x:c r="H31" s="183"/>
      <x:c r="I31" s="183"/>
      <x:c r="J31" s="183"/>
      <x:c r="K31" s="183"/>
      <x:c r="L31" s="183"/>
      <x:c r="M31" s="183"/>
      <x:c r="N31" s="183"/>
    </x:row>
    <x:row r="32">
      <x:c r="A32" s="183"/>
      <x:c r="B32" s="183"/>
      <x:c r="C32" s="183"/>
      <x:c r="D32" s="183"/>
      <x:c r="E32" s="183"/>
      <x:c r="F32" s="183"/>
      <x:c r="G32" s="183"/>
      <x:c r="H32" s="183"/>
      <x:c r="I32" s="183"/>
      <x:c r="J32" s="183"/>
      <x:c r="K32" s="183"/>
      <x:c r="L32" s="183"/>
      <x:c r="M32" s="183"/>
      <x:c r="N32" s="183"/>
    </x:row>
    <x:row r="33">
      <x:c r="A33" s="183"/>
      <x:c r="B33" s="183"/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</x:row>
    <x:row r="34">
      <x:c r="A34" s="183"/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</x:row>
    <x:row r="35">
      <x:c r="A35" s="183"/>
      <x:c r="B35" s="183"/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  <x:c r="I37" s="183"/>
      <x:c r="J37" s="183"/>
      <x:c r="K37" s="183"/>
      <x:c r="L37" s="183"/>
      <x:c r="M37" s="183"/>
      <x:c r="N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I1"/>
    <x:mergeCell ref="A2:I2"/>
  </x:mergeCells>
  <x:conditionalFormatting sqref="I5:I16">
    <x:cfRule type="expression" dxfId="7" priority="1">
      <x:formula>I5="Completado"</x:formula>
    </x:cfRule>
    <x:cfRule type="expression" dxfId="8" priority="2">
      <x:formula>I5="Bloqueado"</x:formula>
    </x:cfRule>
  </x:conditionalFormatting>
  <x:dataValidations count="2">
    <x:dataValidation type="list" sqref="I5:I16">
      <x:formula1>"Pendiente,En curso,Completado,Bloqueado"</x:formula1>
    </x:dataValidation>
    <x:dataValidation type="list" sqref="I5:I18">
      <x:formula1>"Pendiente,En curso,Completado,Bloqueado"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62" hidden="0" customWidth="1"/>
    <x:col min="4" max="4" width="40" hidden="0" customWidth="1"/>
    <x:col min="5" max="5" width="32" hidden="0" customWidth="1"/>
  </x:cols>
  <x:sheetData>
    <x:row r="1" ht="32" customHeight="1">
      <x:c r="A1" s="5" t="str">
        <x:v>Fuentes, evidencias y límites del modelo - Lootra V5</x:v>
      </x:c>
      <x:c r="B1" s="5"/>
      <x:c r="C1" s="5"/>
      <x:c r="D1" s="5"/>
      <x:c r="E1" s="5"/>
      <x:c r="F1" s="183"/>
      <x:c r="G1" s="183"/>
      <x:c r="H1" s="183"/>
      <x:c r="I1" s="183"/>
      <x:c r="J1" s="183"/>
      <x:c r="K1" s="183"/>
      <x:c r="L1" s="183"/>
      <x:c r="M1" s="183"/>
      <x:c r="N1" s="183"/>
    </x:row>
    <x:row r="2" ht="34" customHeight="1">
      <x:c r="A2" s="13" t="str">
        <x:v>Las hipótesis económicas son editables; las fuentes sirven para justificar la estructura y los riesgos.</x:v>
      </x:c>
      <x:c r="B2" s="13"/>
      <x:c r="C2" s="13"/>
      <x:c r="D2" s="13"/>
      <x:c r="E2" s="13"/>
      <x:c r="F2" s="183"/>
      <x:c r="G2" s="183"/>
      <x:c r="H2" s="183"/>
      <x:c r="I2" s="183"/>
      <x:c r="J2" s="183"/>
      <x:c r="K2" s="183"/>
      <x:c r="L2" s="183"/>
      <x:c r="M2" s="183"/>
      <x:c r="N2" s="183"/>
    </x:row>
    <x:row r="3">
      <x:c r="A3" s="183"/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  <x:c r="L3" s="183"/>
      <x:c r="M3" s="183"/>
      <x:c r="N3" s="183"/>
    </x:row>
    <x:row r="4">
      <x:c r="A4" s="30" t="str">
        <x:v>Tipo</x:v>
      </x:c>
      <x:c r="B4" s="30" t="str">
        <x:v>Fuente</x:v>
      </x:c>
      <x:c r="C4" s="30" t="str">
        <x:v>Referencia</x:v>
      </x:c>
      <x:c r="D4" s="30" t="str">
        <x:v>Uso en el Excel</x:v>
      </x:c>
      <x:c r="E4" s="30" t="str">
        <x:v>Observación</x:v>
      </x:c>
      <x:c r="F4" s="183"/>
      <x:c r="G4" s="183"/>
      <x:c r="H4" s="183"/>
      <x:c r="I4" s="183"/>
      <x:c r="J4" s="183"/>
      <x:c r="K4" s="183"/>
      <x:c r="L4" s="183"/>
      <x:c r="M4" s="183"/>
      <x:c r="N4" s="183"/>
    </x:row>
    <x:row r="5">
      <x:c r="A5" s="185" t="str">
        <x:v>Guía entregada</x:v>
      </x:c>
      <x:c r="B5" s="185" t="str">
        <x:v>Guia_Final_Estada_Virtual_Domus_Pla_Empresa.pdf</x:v>
      </x:c>
      <x:c r="C5" s="185" t="str">
        <x:v>/mnt/data/Guia_Final_Estada_Virtual_Domus_Pla_Empresa.pdf</x:v>
      </x:c>
      <x:c r="D5" s="185" t="str">
        <x:v>Variables, cálculos, escenarios y preguntas de presentación</x:v>
      </x:c>
      <x:c r="E5" s="185" t="str">
        <x:v>Documento base de la actividad</x:v>
      </x:c>
      <x:c r="F5" s="183"/>
      <x:c r="G5" s="183"/>
      <x:c r="H5" s="183"/>
      <x:c r="I5" s="183"/>
      <x:c r="J5" s="183"/>
      <x:c r="K5" s="183"/>
      <x:c r="L5" s="183"/>
      <x:c r="M5" s="183"/>
      <x:c r="N5" s="183"/>
    </x:row>
    <x:row r="6">
      <x:c r="A6" s="185" t="str">
        <x:v>Código fuente</x:v>
      </x:c>
      <x:c r="B6" s="185" t="str">
        <x:v>Proyecto Lootra</x:v>
      </x:c>
      <x:c r="C6" s="185" t="str">
        <x:v>/mnt/data/lootradef-register(5).zip</x:v>
      </x:c>
      <x:c r="D6" s="185" t="str">
        <x:v>Stack, juegos, cartera demo, cajas, campañas y panel</x:v>
      </x:c>
      <x:c r="E6" s="185" t="str">
        <x:v>Revisión estática del proyecto entregado</x:v>
      </x:c>
      <x:c r="F6" s="183"/>
      <x:c r="G6" s="183"/>
      <x:c r="H6" s="183"/>
      <x:c r="I6" s="183"/>
      <x:c r="J6" s="183"/>
      <x:c r="K6" s="183"/>
      <x:c r="L6" s="183"/>
      <x:c r="M6" s="183"/>
      <x:c r="N6" s="183"/>
    </x:row>
    <x:row r="7">
      <x:c r="A7" s="185" t="str">
        <x:v>Código</x:v>
      </x:c>
      <x:c r="B7" s="185" t="str">
        <x:v>Catálogo de juegos</x:v>
      </x:c>
      <x:c r="C7" s="185" t="str">
        <x:v>config/casino_games.php</x:v>
      </x:c>
      <x:c r="D7" s="185" t="str">
        <x:v>21 juegos configurados</x:v>
      </x:c>
      <x:c r="E7" s="185" t="str">
        <x:v>Incluye proveedores y Lootra Originals</x:v>
      </x:c>
      <x:c r="F7" s="183"/>
      <x:c r="G7" s="183"/>
      <x:c r="H7" s="183"/>
      <x:c r="I7" s="183"/>
      <x:c r="J7" s="183"/>
      <x:c r="K7" s="183"/>
      <x:c r="L7" s="183"/>
      <x:c r="M7" s="183"/>
      <x:c r="N7" s="183"/>
    </x:row>
    <x:row r="8">
      <x:c r="A8" s="185" t="str">
        <x:v>Código</x:v>
      </x:c>
      <x:c r="B8" s="185" t="str">
        <x:v>Juegos originales</x:v>
      </x:c>
      <x:c r="C8" s="185" t="str">
        <x:v>config/arcade_games.php</x:v>
      </x:c>
      <x:c r="D8" s="185" t="str">
        <x:v>11 juegos propios</x:v>
      </x:c>
      <x:c r="E8" s="185" t="str">
        <x:v>Mecánicas wheel, poker, mines, dice, hilo, plinko, keno, coin, baccarat y nebula</x:v>
      </x:c>
      <x:c r="F8" s="183"/>
      <x:c r="G8" s="183"/>
      <x:c r="H8" s="183"/>
      <x:c r="I8" s="183"/>
      <x:c r="J8" s="183"/>
      <x:c r="K8" s="183"/>
      <x:c r="L8" s="183"/>
      <x:c r="M8" s="183"/>
      <x:c r="N8" s="183"/>
    </x:row>
    <x:row r="9">
      <x:c r="A9" s="185" t="str">
        <x:v>Código</x:v>
      </x:c>
      <x:c r="B9" s="185" t="str">
        <x:v>Cajas y premios</x:v>
      </x:c>
      <x:c r="C9" s="185" t="str">
        <x:v>config/cajas.php</x:v>
      </x:c>
      <x:c r="D9" s="185" t="str">
        <x:v>Precios, pesos, valores y EV</x:v>
      </x:c>
      <x:c r="E9" s="185" t="str">
        <x:v>Valores virtuales</x:v>
      </x:c>
      <x:c r="F9" s="183"/>
      <x:c r="G9" s="183"/>
      <x:c r="H9" s="183"/>
      <x:c r="I9" s="183"/>
      <x:c r="J9" s="183"/>
      <x:c r="K9" s="183"/>
      <x:c r="L9" s="183"/>
      <x:c r="M9" s="183"/>
      <x:c r="N9" s="183"/>
    </x:row>
    <x:row r="10">
      <x:c r="A10" s="185" t="str">
        <x:v>Código</x:v>
      </x:c>
      <x:c r="B10" s="185" t="str">
        <x:v>Registro y bono</x:v>
      </x:c>
      <x:c r="C10" s="185" t="str">
        <x:v>app/Http/Controllers/AuthController.php</x:v>
      </x:c>
      <x:c r="D10" s="185" t="str">
        <x:v>Bono inicial de 1.000 créditos</x:v>
      </x:c>
      <x:c r="E10" s="185" t="str">
        <x:v>Saldo demo</x:v>
      </x:c>
      <x:c r="F10" s="183"/>
      <x:c r="G10" s="183"/>
      <x:c r="H10" s="183"/>
      <x:c r="I10" s="183"/>
      <x:c r="J10" s="183"/>
      <x:c r="K10" s="183"/>
      <x:c r="L10" s="183"/>
      <x:c r="M10" s="183"/>
      <x:c r="N10" s="183"/>
    </x:row>
    <x:row r="11">
      <x:c r="A11" s="185" t="str">
        <x:v>Código</x:v>
      </x:c>
      <x:c r="B11" s="185" t="str">
        <x:v>Depósito demo</x:v>
      </x:c>
      <x:c r="C11" s="185" t="str">
        <x:v>app/Http/Controllers/PerfilController.php</x:v>
      </x:c>
      <x:c r="D11" s="185" t="str">
        <x:v>Depósitos de 1 a 50.000 créditos</x:v>
      </x:c>
      <x:c r="E11" s="185" t="str">
        <x:v>No representa pasarela de pago real</x:v>
      </x:c>
      <x:c r="F11" s="183"/>
      <x:c r="G11" s="183"/>
      <x:c r="H11" s="183"/>
      <x:c r="I11" s="183"/>
      <x:c r="J11" s="183"/>
      <x:c r="K11" s="183"/>
      <x:c r="L11" s="183"/>
      <x:c r="M11" s="183"/>
      <x:c r="N11" s="183"/>
    </x:row>
    <x:row r="12">
      <x:c r="A12" s="185" t="str">
        <x:v>Código</x:v>
      </x:c>
      <x:c r="B12" s="185" t="str">
        <x:v>Analítica administrativa</x:v>
      </x:c>
      <x:c r="C12" s="185" t="str">
        <x:v>app/Http/Controllers/Admin/AdminDashboardController.php</x:v>
      </x:c>
      <x:c r="D12" s="185" t="str">
        <x:v>Usuarios, partidas, volumen, premios y margen</x:v>
      </x:c>
      <x:c r="E12" s="185" t="str">
        <x:v>Útil para sustituir hipótesis por datos reales</x:v>
      </x:c>
      <x:c r="F12" s="183"/>
      <x:c r="G12" s="183"/>
      <x:c r="H12" s="183"/>
      <x:c r="I12" s="183"/>
      <x:c r="J12" s="183"/>
      <x:c r="K12" s="183"/>
      <x:c r="L12" s="183"/>
      <x:c r="M12" s="183"/>
      <x:c r="N12" s="183"/>
    </x:row>
    <x:row r="13">
      <x:c r="A13" s="185" t="str">
        <x:v>Regulación</x:v>
      </x:c>
      <x:c r="B13" s="185" t="str">
        <x:v>DGOJ - Licencias de juego</x:v>
      </x:c>
      <x:c r="C13" s="185" t="str">
        <x:v>https://www.ordenacionjuego.es/operadores-juego/informacion-operadores/licencias-juego</x:v>
      </x:c>
      <x:c r="D13" s="185" t="str">
        <x:v>Advertencia sobre dinero real y licencias</x:v>
      </x:c>
      <x:c r="E13" s="185" t="str">
        <x:v>Requiere asesoramiento profesional</x:v>
      </x:c>
      <x:c r="F13" s="183"/>
      <x:c r="G13" s="183"/>
      <x:c r="H13" s="183"/>
      <x:c r="I13" s="183"/>
      <x:c r="J13" s="183"/>
      <x:c r="K13" s="183"/>
      <x:c r="L13" s="183"/>
      <x:c r="M13" s="183"/>
      <x:c r="N13" s="183"/>
    </x:row>
    <x:row r="14">
      <x:c r="A14" s="185" t="str">
        <x:v>Regulación</x:v>
      </x:c>
      <x:c r="B14" s="185" t="str">
        <x:v>DGOJ - Juego autorizado</x:v>
      </x:c>
      <x:c r="C14" s="185" t="str">
        <x:v>https://www.ordenacionjuego.es/participantes-juego/juego-autorizado</x:v>
      </x:c>
      <x:c r="D14" s="185" t="str">
        <x:v>Edad, identidad, transparencia y operadores legales</x:v>
      </x:c>
      <x:c r="E14" s="185" t="str">
        <x:v>Fuente oficial</x:v>
      </x:c>
      <x:c r="F14" s="183"/>
      <x:c r="G14" s="183"/>
      <x:c r="H14" s="183"/>
      <x:c r="I14" s="183"/>
      <x:c r="J14" s="183"/>
      <x:c r="K14" s="183"/>
      <x:c r="L14" s="183"/>
      <x:c r="M14" s="183"/>
      <x:c r="N14" s="183"/>
    </x:row>
    <x:row r="15">
      <x:c r="A15" s="185" t="str">
        <x:v>Protección de datos</x:v>
      </x:c>
      <x:c r="B15" s="185" t="str">
        <x:v>AEPD - Orientación para PYMES</x:v>
      </x:c>
      <x:c r="C15" s="185" t="str">
        <x:v>https://www.aepd.es/derechos-y-deberes/cumple-tus-deberes/directrices-de-aplicacion/pymes</x:v>
      </x:c>
      <x:c r="D15" s="185" t="str">
        <x:v>Privacidad y cumplimiento RGPD</x:v>
      </x:c>
      <x:c r="E15" s="185" t="str">
        <x:v>Fuente oficial</x:v>
      </x:c>
      <x:c r="F15" s="183"/>
      <x:c r="G15" s="183"/>
      <x:c r="H15" s="183"/>
      <x:c r="I15" s="183"/>
      <x:c r="J15" s="183"/>
      <x:c r="K15" s="183"/>
      <x:c r="L15" s="183"/>
      <x:c r="M15" s="183"/>
      <x:c r="N15" s="183"/>
    </x:row>
    <x:row r="16">
      <x:c r="A16" s="185" t="str">
        <x:v>Publicidad de juego</x:v>
      </x:c>
      <x:c r="B16" s="185" t="str">
        <x:v>BOE - Real Decreto 958/2020</x:v>
      </x:c>
      <x:c r="C16" s="185" t="str">
        <x:v>https://www.boe.es/buscar/act.php?id=BOE-A-2020-13495</x:v>
      </x:c>
      <x:c r="D16" s="185" t="str">
        <x:v>Riesgos y restricciones de comunicación comercial</x:v>
      </x:c>
      <x:c r="E16" s="185" t="str">
        <x:v>Consultar texto vigente y asesor</x:v>
      </x:c>
      <x:c r="F16" s="183"/>
      <x:c r="G16" s="183"/>
      <x:c r="H16" s="183"/>
      <x:c r="I16" s="183"/>
      <x:c r="J16" s="183"/>
      <x:c r="K16" s="183"/>
      <x:c r="L16" s="183"/>
      <x:c r="M16" s="183"/>
      <x:c r="N16" s="183"/>
    </x:row>
    <x:row r="17">
      <x:c r="A17" s="185" t="str">
        <x:v>Código V5</x:v>
      </x:c>
      <x:c r="B17" s="185" t="str">
        <x:v>Resumen del proyecto</x:v>
      </x:c>
      <x:c r="C17" s="185" t="str">
        <x:v>README.md</x:v>
      </x:c>
      <x:c r="D17" s="185" t="str">
        <x:v>Alcance, requisitos, flags y limitaciones</x:v>
      </x:c>
      <x:c r="E17" s="185" t="str">
        <x:v>Proyecto íntegramente demo</x:v>
      </x:c>
      <x:c r="F17" s="183"/>
      <x:c r="G17" s="183"/>
      <x:c r="H17" s="183"/>
      <x:c r="I17" s="183"/>
      <x:c r="J17" s="183"/>
      <x:c r="K17" s="183"/>
      <x:c r="L17" s="183"/>
      <x:c r="M17" s="183"/>
      <x:c r="N17" s="183"/>
    </x:row>
    <x:row r="18">
      <x:c r="A18" s="185" t="str">
        <x:v>Código V5</x:v>
      </x:c>
      <x:c r="B18" s="185" t="str">
        <x:v>Economía demo</x:v>
      </x:c>
      <x:c r="C18" s="185" t="str">
        <x:v>docs/demo-economy.md</x:v>
      </x:c>
      <x:c r="D18" s="185" t="str">
        <x:v>Ledger, reservas, retiradas y simulación</x:v>
      </x:c>
      <x:c r="E18" s="185" t="str">
        <x:v>No representa una previsión real</x:v>
      </x:c>
      <x:c r="F18" s="183"/>
      <x:c r="G18" s="183"/>
      <x:c r="H18" s="183"/>
      <x:c r="I18" s="183"/>
      <x:c r="J18" s="183"/>
      <x:c r="K18" s="183"/>
      <x:c r="L18" s="183"/>
      <x:c r="M18" s="183"/>
      <x:c r="N18" s="183"/>
    </x:row>
    <x:row r="19">
      <x:c r="A19" s="185" t="str">
        <x:v>Código V5</x:v>
      </x:c>
      <x:c r="B19" s="185" t="str">
        <x:v>Arquitectura</x:v>
      </x:c>
      <x:c r="C19" s="185" t="str">
        <x:v>docs/ARCHITECTURE.md</x:v>
      </x:c>
      <x:c r="D19" s="185" t="str">
        <x:v>Capas, seguridad, colas y despliegue</x:v>
      </x:c>
      <x:c r="E19" s="185" t="str">
        <x:v>Fuente técnica principal</x:v>
      </x:c>
      <x:c r="F19" s="183"/>
      <x:c r="G19" s="183"/>
      <x:c r="H19" s="183"/>
      <x:c r="I19" s="183"/>
      <x:c r="J19" s="183"/>
      <x:c r="K19" s="183"/>
      <x:c r="L19" s="183"/>
      <x:c r="M19" s="183"/>
      <x:c r="N19" s="183"/>
    </x:row>
    <x:row r="20">
      <x:c r="A20" s="185" t="str">
        <x:v>Código V5</x:v>
      </x:c>
      <x:c r="B20" s="185" t="str">
        <x:v>Feature flags</x:v>
      </x:c>
      <x:c r="C20" s="185" t="str">
        <x:v>config/features.php</x:v>
      </x:c>
      <x:c r="D20" s="185" t="str">
        <x:v>Tesorería inicial, retiradas y moneda demo</x:v>
      </x:c>
      <x:c r="E20" s="185" t="str">
        <x:v>100.000 EUR Demo; límites 1–5.000</x:v>
      </x:c>
      <x:c r="F20" s="183"/>
      <x:c r="G20" s="183"/>
      <x:c r="H20" s="183"/>
      <x:c r="I20" s="183"/>
      <x:c r="J20" s="183"/>
      <x:c r="K20" s="183"/>
      <x:c r="L20" s="183"/>
      <x:c r="M20" s="183"/>
      <x:c r="N20" s="183"/>
    </x:row>
    <x:row r="21">
      <x:c r="A21" s="185" t="str">
        <x:v>Código V5</x:v>
      </x:c>
      <x:c r="B21" s="185" t="str">
        <x:v>Matemáticas</x:v>
      </x:c>
      <x:c r="C21" s="185" t="str">
        <x:v>config/game_math.php</x:v>
      </x:c>
      <x:c r="D21" s="185" t="str">
        <x:v>Versiones, RTP y exposición</x:v>
      </x:c>
      <x:c r="E21" s="185" t="str">
        <x:v>Crash con margen configurado del 3 %</x:v>
      </x:c>
      <x:c r="F21" s="183"/>
      <x:c r="G21" s="183"/>
      <x:c r="H21" s="183"/>
      <x:c r="I21" s="183"/>
      <x:c r="J21" s="183"/>
      <x:c r="K21" s="183"/>
      <x:c r="L21" s="183"/>
      <x:c r="M21" s="183"/>
      <x:c r="N21" s="183"/>
    </x:row>
    <x:row r="22">
      <x:c r="A22" s="185" t="str">
        <x:v>Código V5</x:v>
      </x:c>
      <x:c r="B22" s="185" t="str">
        <x:v>Simulador</x:v>
      </x:c>
      <x:c r="C22" s="185" t="str">
        <x:v>app/Services/EconomicSimulationService.php</x:v>
      </x:c>
      <x:c r="D22" s="185" t="str">
        <x:v>Escenarios deterministas y reproducibles</x:v>
      </x:c>
      <x:c r="E22" s="185" t="str">
        <x:v>No escribe en la base de datos</x:v>
      </x:c>
      <x:c r="F22" s="183"/>
      <x:c r="G22" s="183"/>
      <x:c r="H22" s="183"/>
      <x:c r="I22" s="183"/>
      <x:c r="J22" s="183"/>
      <x:c r="K22" s="183"/>
      <x:c r="L22" s="183"/>
      <x:c r="M22" s="183"/>
      <x:c r="N22" s="183"/>
    </x:row>
    <x:row r="23">
      <x:c r="A23" s="185" t="str">
        <x:v>Código V5</x:v>
      </x:c>
      <x:c r="B23" s="185" t="str">
        <x:v>Libro mayor</x:v>
      </x:c>
      <x:c r="C23" s="185" t="str">
        <x:v>app/Services/LedgerService.php</x:v>
      </x:c>
      <x:c r="D23" s="185" t="str">
        <x:v>Asientos de doble entrada e idempotencia</x:v>
      </x:c>
      <x:c r="E23" s="185" t="str">
        <x:v>Economía ficticia auditable</x:v>
      </x:c>
      <x:c r="F23" s="183"/>
      <x:c r="G23" s="183"/>
      <x:c r="H23" s="183"/>
      <x:c r="I23" s="183"/>
      <x:c r="J23" s="183"/>
      <x:c r="K23" s="183"/>
      <x:c r="L23" s="183"/>
      <x:c r="M23" s="183"/>
      <x:c r="N23" s="183"/>
    </x:row>
    <x:row r="24">
      <x:c r="A24" s="185" t="str">
        <x:v>Código V5</x:v>
      </x:c>
      <x:c r="B24" s="185" t="str">
        <x:v>Tesorería</x:v>
      </x:c>
      <x:c r="C24" s="185" t="str">
        <x:v>app/Services/DemoTreasuryService.php</x:v>
      </x:c>
      <x:c r="D24" s="185" t="str">
        <x:v>Saldo, reservas y cobertura</x:v>
      </x:c>
      <x:c r="E24" s="185" t="str">
        <x:v>Economía ficticia</x:v>
      </x:c>
      <x:c r="F24" s="183"/>
      <x:c r="G24" s="183"/>
      <x:c r="H24" s="183"/>
      <x:c r="I24" s="183"/>
      <x:c r="J24" s="183"/>
      <x:c r="K24" s="183"/>
      <x:c r="L24" s="183"/>
      <x:c r="M24" s="183"/>
      <x:c r="N24" s="183"/>
    </x:row>
    <x:row r="25">
      <x:c r="A25" s="185" t="str">
        <x:v>Código V5</x:v>
      </x:c>
      <x:c r="B25" s="185" t="str">
        <x:v>Cajas cosméticas</x:v>
      </x:c>
      <x:c r="C25" s="185" t="str">
        <x:v>config/cajas.php</x:v>
      </x:c>
      <x:c r="D25" s="185" t="str">
        <x:v>Precios, probabilidades y EV virtual</x:v>
      </x:c>
      <x:c r="E25" s="185" t="str">
        <x:v>Sin canje ni premio físico</x:v>
      </x:c>
      <x:c r="F25" s="183"/>
      <x:c r="G25" s="183"/>
      <x:c r="H25" s="183"/>
      <x:c r="I25" s="183"/>
      <x:c r="J25" s="183"/>
      <x:c r="K25" s="183"/>
      <x:c r="L25" s="183"/>
      <x:c r="M25" s="183"/>
      <x:c r="N25" s="183"/>
    </x:row>
    <x:row r="26">
      <x:c r="A26" s="185" t="str">
        <x:v>Código V5</x:v>
      </x:c>
      <x:c r="B26" s="185" t="str">
        <x:v>Pruebas</x:v>
      </x:c>
      <x:c r="C26" s="185" t="str">
        <x:v>tests/</x:v>
      </x:c>
      <x:c r="D26" s="185" t="str">
        <x:v>159 métodos PHP y 3 pruebas E2E detectadas</x:v>
      </x:c>
      <x:c r="E26" s="185" t="str">
        <x:v>Revisión estática del repositorio</x:v>
      </x:c>
      <x:c r="F26" s="183"/>
      <x:c r="G26" s="183"/>
      <x:c r="H26" s="183"/>
      <x:c r="I26" s="183"/>
      <x:c r="J26" s="183"/>
      <x:c r="K26" s="183"/>
      <x:c r="L26" s="183"/>
      <x:c r="M26" s="183"/>
      <x:c r="N26" s="183"/>
    </x:row>
    <x:row r="27">
      <x:c r="A27" s="185" t="str">
        <x:v>Regulación</x:v>
      </x:c>
      <x:c r="B27" s="185" t="str">
        <x:v>DGOJ - Licencias de juego</x:v>
      </x:c>
      <x:c r="C27" s="185" t="str">
        <x:v>https://www.ordenacionjuego.es/operadores-juego/informacion-operadores/licencias-juego</x:v>
      </x:c>
      <x:c r="D27" s="185" t="str">
        <x:v>Mantener dinero real fuera del alcance</x:v>
      </x:c>
      <x:c r="E27" s="185" t="str">
        <x:v>Fuente oficial consultada en julio de 2026</x:v>
      </x:c>
      <x:c r="F27" s="183"/>
      <x:c r="G27" s="183"/>
      <x:c r="H27" s="183"/>
      <x:c r="I27" s="183"/>
      <x:c r="J27" s="183"/>
      <x:c r="K27" s="183"/>
      <x:c r="L27" s="183"/>
      <x:c r="M27" s="183"/>
      <x:c r="N27" s="183"/>
    </x:row>
    <x:row r="28">
      <x:c r="A28" s="185" t="str">
        <x:v>Regulación</x:v>
      </x:c>
      <x:c r="B28" s="185" t="str">
        <x:v>DGOJ - Juego autorizado</x:v>
      </x:c>
      <x:c r="C28" s="185" t="str">
        <x:v>https://www.ordenacionjuego.es/participantes-juego/juego-autorizado</x:v>
      </x:c>
      <x:c r="D28" s="185" t="str">
        <x:v>Identidad, edad, transparencia y operador legal</x:v>
      </x:c>
      <x:c r="E28" s="185" t="str">
        <x:v>Fuente oficial consultada en julio de 2026</x:v>
      </x:c>
      <x:c r="F28" s="183"/>
      <x:c r="G28" s="183"/>
      <x:c r="H28" s="183"/>
      <x:c r="I28" s="183"/>
      <x:c r="J28" s="183"/>
      <x:c r="K28" s="183"/>
      <x:c r="L28" s="183"/>
      <x:c r="M28" s="183"/>
      <x:c r="N28" s="183"/>
    </x:row>
    <x:row r="29">
      <x:c r="A29" s="185" t="str">
        <x:v>Publicidad</x:v>
      </x:c>
      <x:c r="B29" s="185" t="str">
        <x:v>BOE - Real Decreto 958/2020</x:v>
      </x:c>
      <x:c r="C29" s="185" t="str">
        <x:v>https://www.boe.es/eli/es/rd/2020/11/03/958</x:v>
      </x:c>
      <x:c r="D29" s="185" t="str">
        <x:v>Comunicaciones comerciales de juego</x:v>
      </x:c>
      <x:c r="E29" s="185" t="str">
        <x:v>Fuente oficial</x:v>
      </x:c>
      <x:c r="F29" s="183"/>
      <x:c r="G29" s="183"/>
      <x:c r="H29" s="183"/>
      <x:c r="I29" s="183"/>
      <x:c r="J29" s="183"/>
      <x:c r="K29" s="183"/>
      <x:c r="L29" s="183"/>
      <x:c r="M29" s="183"/>
      <x:c r="N29" s="183"/>
    </x:row>
    <x:row r="30">
      <x:c r="A30" s="185" t="str">
        <x:v>Privacidad</x:v>
      </x:c>
      <x:c r="B30" s="185" t="str">
        <x:v>AEPD - Orientación para PYMES</x:v>
      </x:c>
      <x:c r="C30" s="185" t="str">
        <x:v>https://www.aepd.es/derechos-y-deberes/cumple-tus-deberes/directrices-de-aplicacion/pymes</x:v>
      </x:c>
      <x:c r="D30" s="185" t="str">
        <x:v>Privacidad, cookies y cumplimiento</x:v>
      </x:c>
      <x:c r="E30" s="185" t="str">
        <x:v>Fuente oficial</x:v>
      </x:c>
      <x:c r="F30" s="183"/>
      <x:c r="G30" s="183"/>
      <x:c r="H30" s="183"/>
      <x:c r="I30" s="183"/>
      <x:c r="J30" s="183"/>
      <x:c r="K30" s="183"/>
      <x:c r="L30" s="183"/>
      <x:c r="M30" s="183"/>
      <x:c r="N30" s="183"/>
    </x:row>
    <x:row r="31">
      <x:c r="A31" s="183"/>
      <x:c r="B31" s="183"/>
      <x:c r="C31" s="183"/>
      <x:c r="D31" s="183"/>
      <x:c r="E31" s="183"/>
      <x:c r="F31" s="183"/>
      <x:c r="G31" s="183"/>
      <x:c r="H31" s="183"/>
      <x:c r="I31" s="183"/>
      <x:c r="J31" s="183"/>
      <x:c r="K31" s="183"/>
      <x:c r="L31" s="183"/>
      <x:c r="M31" s="183"/>
      <x:c r="N31" s="183"/>
    </x:row>
    <x:row r="32">
      <x:c r="A32" s="183"/>
      <x:c r="B32" s="183"/>
      <x:c r="C32" s="183"/>
      <x:c r="D32" s="183"/>
      <x:c r="E32" s="183"/>
      <x:c r="F32" s="183"/>
      <x:c r="G32" s="183"/>
      <x:c r="H32" s="183"/>
      <x:c r="I32" s="183"/>
      <x:c r="J32" s="183"/>
      <x:c r="K32" s="183"/>
      <x:c r="L32" s="183"/>
      <x:c r="M32" s="183"/>
      <x:c r="N32" s="183"/>
    </x:row>
    <x:row r="33">
      <x:c r="A33" s="183"/>
      <x:c r="B33" s="183"/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</x:row>
    <x:row r="34">
      <x:c r="A34" s="183"/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</x:row>
    <x:row r="35">
      <x:c r="A35" s="183"/>
      <x:c r="B35" s="183"/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>
      <x:c r="A36" s="183"/>
      <x:c r="B36" s="183"/>
      <x:c r="C36" s="183"/>
      <x:c r="D36" s="183"/>
      <x:c r="E36" s="183"/>
      <x:c r="F36" s="183"/>
      <x:c r="G36" s="183"/>
      <x:c r="H36" s="183"/>
      <x:c r="I36" s="183"/>
      <x:c r="J36" s="183"/>
      <x:c r="K36" s="183"/>
      <x:c r="L36" s="183"/>
      <x:c r="M36" s="183"/>
      <x:c r="N36" s="183"/>
    </x:row>
    <x:row r="37">
      <x:c r="A37" s="183"/>
      <x:c r="B37" s="183"/>
      <x:c r="C37" s="183"/>
      <x:c r="D37" s="183"/>
      <x:c r="E37" s="183"/>
      <x:c r="F37" s="183"/>
      <x:c r="G37" s="183"/>
      <x:c r="H37" s="183"/>
      <x:c r="I37" s="183"/>
      <x:c r="J37" s="183"/>
      <x:c r="K37" s="183"/>
      <x:c r="L37" s="183"/>
      <x:c r="M37" s="183"/>
      <x:c r="N37" s="183"/>
    </x:row>
    <x:row r="38">
      <x:c r="A38" s="183"/>
      <x:c r="B38" s="183"/>
      <x:c r="C38" s="183"/>
      <x:c r="D38" s="183"/>
      <x:c r="E38" s="183"/>
      <x:c r="F38" s="183"/>
      <x:c r="G38" s="183"/>
      <x:c r="H38" s="183"/>
      <x:c r="I38" s="183"/>
      <x:c r="J38" s="183"/>
      <x:c r="K38" s="183"/>
      <x:c r="L38" s="183"/>
      <x:c r="M38" s="183"/>
      <x:c r="N38" s="183"/>
    </x:row>
    <x:row r="39">
      <x:c r="A39" s="183"/>
      <x:c r="B39" s="183"/>
      <x:c r="C39" s="183"/>
      <x:c r="D39" s="183"/>
      <x:c r="E39" s="183"/>
      <x:c r="F39" s="183"/>
      <x:c r="G39" s="183"/>
      <x:c r="H39" s="183"/>
      <x:c r="I39" s="183"/>
      <x:c r="J39" s="183"/>
      <x:c r="K39" s="183"/>
      <x:c r="L39" s="183"/>
      <x:c r="M39" s="183"/>
      <x:c r="N39" s="183"/>
    </x:row>
    <x:row r="40">
      <x:c r="A40" s="183"/>
      <x:c r="B40" s="183"/>
      <x:c r="C40" s="183"/>
      <x:c r="D40" s="183"/>
      <x:c r="E40" s="183"/>
      <x:c r="F40" s="183"/>
      <x:c r="G40" s="183"/>
      <x:c r="H40" s="183"/>
      <x:c r="I40" s="183"/>
      <x:c r="J40" s="183"/>
      <x:c r="K40" s="183"/>
      <x:c r="L40" s="183"/>
      <x:c r="M40" s="183"/>
      <x:c r="N40" s="183"/>
    </x:row>
    <x:row r="41">
      <x:c r="A41" s="183"/>
      <x:c r="B41" s="183"/>
      <x:c r="C41" s="183"/>
      <x:c r="D41" s="183"/>
      <x:c r="E41" s="183"/>
      <x:c r="F41" s="183"/>
      <x:c r="G41" s="183"/>
      <x:c r="H41" s="183"/>
      <x:c r="I41" s="183"/>
      <x:c r="J41" s="183"/>
      <x:c r="K41" s="183"/>
      <x:c r="L41" s="183"/>
      <x:c r="M41" s="183"/>
      <x:c r="N41" s="183"/>
    </x:row>
    <x:row r="42">
      <x:c r="A42" s="183"/>
      <x:c r="B42" s="183"/>
      <x:c r="C42" s="183"/>
      <x:c r="D42" s="183"/>
      <x:c r="E42" s="183"/>
      <x:c r="F42" s="183"/>
      <x:c r="G42" s="183"/>
      <x:c r="H42" s="183"/>
      <x:c r="I42" s="183"/>
      <x:c r="J42" s="183"/>
      <x:c r="K42" s="183"/>
      <x:c r="L42" s="183"/>
      <x:c r="M42" s="183"/>
      <x:c r="N42" s="183"/>
    </x:row>
    <x:row r="43">
      <x:c r="A43" s="183"/>
      <x:c r="B43" s="183"/>
      <x:c r="C43" s="183"/>
      <x:c r="D43" s="183"/>
      <x:c r="E43" s="183"/>
      <x:c r="F43" s="183"/>
      <x:c r="G43" s="183"/>
      <x:c r="H43" s="183"/>
      <x:c r="I43" s="183"/>
      <x:c r="J43" s="183"/>
      <x:c r="K43" s="183"/>
      <x:c r="L43" s="183"/>
      <x:c r="M43" s="183"/>
      <x:c r="N43" s="183"/>
    </x:row>
    <x:row r="44">
      <x:c r="A44" s="183"/>
      <x:c r="B44" s="183"/>
      <x:c r="C44" s="183"/>
      <x:c r="D44" s="183"/>
      <x:c r="E44" s="183"/>
      <x:c r="F44" s="183"/>
      <x:c r="G44" s="183"/>
      <x:c r="H44" s="183"/>
      <x:c r="I44" s="183"/>
      <x:c r="J44" s="183"/>
      <x:c r="K44" s="183"/>
      <x:c r="L44" s="183"/>
      <x:c r="M44" s="183"/>
      <x:c r="N44" s="183"/>
    </x:row>
    <x:row r="45">
      <x:c r="A45" s="183"/>
      <x:c r="B45" s="183"/>
      <x:c r="C45" s="183"/>
      <x:c r="D45" s="183"/>
      <x:c r="E45" s="183"/>
      <x:c r="F45" s="183"/>
      <x:c r="G45" s="183"/>
      <x:c r="H45" s="183"/>
      <x:c r="I45" s="183"/>
      <x:c r="J45" s="183"/>
      <x:c r="K45" s="183"/>
      <x:c r="L45" s="183"/>
      <x:c r="M45" s="183"/>
      <x:c r="N45" s="183"/>
    </x:row>
    <x:row r="46">
      <x:c r="A46" s="183"/>
      <x:c r="B46" s="183"/>
      <x:c r="C46" s="183"/>
      <x:c r="D46" s="183"/>
      <x:c r="E46" s="183"/>
      <x:c r="F46" s="183"/>
      <x:c r="G46" s="183"/>
      <x:c r="H46" s="183"/>
      <x:c r="I46" s="183"/>
      <x:c r="J46" s="183"/>
      <x:c r="K46" s="183"/>
      <x:c r="L46" s="183"/>
      <x:c r="M46" s="183"/>
      <x:c r="N46" s="183"/>
    </x:row>
    <x:row r="47">
      <x:c r="A47" s="183"/>
      <x:c r="B47" s="183"/>
      <x:c r="C47" s="183"/>
      <x:c r="D47" s="183"/>
      <x:c r="E47" s="183"/>
      <x:c r="F47" s="183"/>
      <x:c r="G47" s="183"/>
      <x:c r="H47" s="183"/>
      <x:c r="I47" s="183"/>
      <x:c r="J47" s="183"/>
      <x:c r="K47" s="183"/>
      <x:c r="L47" s="183"/>
      <x:c r="M47" s="183"/>
      <x:c r="N47" s="183"/>
    </x:row>
    <x:row r="48">
      <x:c r="A48" s="183"/>
      <x:c r="B48" s="183"/>
      <x:c r="C48" s="183"/>
      <x:c r="D48" s="183"/>
      <x:c r="E48" s="183"/>
      <x:c r="F48" s="183"/>
      <x:c r="G48" s="183"/>
      <x:c r="H48" s="183"/>
      <x:c r="I48" s="183"/>
      <x:c r="J48" s="183"/>
      <x:c r="K48" s="183"/>
      <x:c r="L48" s="183"/>
      <x:c r="M48" s="183"/>
      <x:c r="N48" s="183"/>
    </x:row>
    <x:row r="49">
      <x:c r="A49" s="183"/>
      <x:c r="B49" s="183"/>
      <x:c r="C49" s="183"/>
      <x:c r="D49" s="183"/>
      <x:c r="E49" s="183"/>
      <x:c r="F49" s="183"/>
      <x:c r="G49" s="183"/>
      <x:c r="H49" s="183"/>
      <x:c r="I49" s="183"/>
      <x:c r="J49" s="183"/>
      <x:c r="K49" s="183"/>
      <x:c r="L49" s="183"/>
      <x:c r="M49" s="183"/>
      <x:c r="N49" s="183"/>
    </x:row>
    <x:row r="50">
      <x:c r="A50" s="183"/>
      <x:c r="B50" s="183"/>
      <x:c r="C50" s="183"/>
      <x:c r="D50" s="183"/>
      <x:c r="E50" s="183"/>
      <x:c r="F50" s="183"/>
      <x:c r="G50" s="183"/>
      <x:c r="H50" s="183"/>
      <x:c r="I50" s="183"/>
      <x:c r="J50" s="183"/>
      <x:c r="K50" s="183"/>
      <x:c r="L50" s="183"/>
      <x:c r="M50" s="183"/>
      <x:c r="N50" s="183"/>
    </x:row>
    <x:row r="51">
      <x:c r="A51" s="183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</x:row>
    <x:row r="52">
      <x:c r="A52" s="183"/>
      <x:c r="B52" s="183"/>
      <x:c r="C52" s="183"/>
      <x:c r="D52" s="183"/>
      <x:c r="E52" s="183"/>
      <x:c r="F52" s="183"/>
      <x:c r="G52" s="183"/>
      <x:c r="H52" s="183"/>
      <x:c r="I52" s="183"/>
      <x:c r="J52" s="183"/>
      <x:c r="K52" s="183"/>
      <x:c r="L52" s="183"/>
      <x:c r="M52" s="183"/>
      <x:c r="N52" s="183"/>
    </x:row>
    <x:row r="53">
      <x:c r="A53" s="183"/>
      <x:c r="B53" s="183"/>
      <x:c r="C53" s="183"/>
      <x:c r="D53" s="183"/>
      <x:c r="E53" s="183"/>
      <x:c r="F53" s="183"/>
      <x:c r="G53" s="183"/>
      <x:c r="H53" s="183"/>
      <x:c r="I53" s="183"/>
      <x:c r="J53" s="183"/>
      <x:c r="K53" s="183"/>
      <x:c r="L53" s="183"/>
      <x:c r="M53" s="183"/>
      <x:c r="N53" s="183"/>
    </x:row>
    <x:row r="54">
      <x:c r="A54" s="183"/>
      <x:c r="B54" s="183"/>
      <x:c r="C54" s="183"/>
      <x:c r="D54" s="183"/>
      <x:c r="E54" s="183"/>
      <x:c r="F54" s="183"/>
      <x:c r="G54" s="183"/>
      <x:c r="H54" s="183"/>
      <x:c r="I54" s="183"/>
      <x:c r="J54" s="183"/>
      <x:c r="K54" s="183"/>
      <x:c r="L54" s="183"/>
      <x:c r="M54" s="183"/>
      <x:c r="N54" s="183"/>
    </x:row>
    <x:row r="55">
      <x:c r="A55" s="183"/>
      <x:c r="B55" s="183"/>
      <x:c r="C55" s="183"/>
      <x:c r="D55" s="183"/>
      <x:c r="E55" s="183"/>
      <x:c r="F55" s="183"/>
      <x:c r="G55" s="183"/>
      <x:c r="H55" s="183"/>
      <x:c r="I55" s="183"/>
      <x:c r="J55" s="183"/>
      <x:c r="K55" s="183"/>
      <x:c r="L55" s="183"/>
      <x:c r="M55" s="183"/>
      <x:c r="N55" s="183"/>
    </x:row>
    <x:row r="56">
      <x:c r="A56" s="183"/>
      <x:c r="B56" s="183"/>
      <x:c r="C56" s="183"/>
      <x:c r="D56" s="183"/>
      <x:c r="E56" s="183"/>
      <x:c r="F56" s="183"/>
      <x:c r="G56" s="183"/>
      <x:c r="H56" s="183"/>
      <x:c r="I56" s="183"/>
      <x:c r="J56" s="183"/>
      <x:c r="K56" s="183"/>
      <x:c r="L56" s="183"/>
      <x:c r="M56" s="183"/>
      <x:c r="N56" s="183"/>
    </x:row>
    <x:row r="57">
      <x:c r="A57" s="183"/>
      <x:c r="B57" s="183"/>
      <x:c r="C57" s="183"/>
      <x:c r="D57" s="183"/>
      <x:c r="E57" s="183"/>
      <x:c r="F57" s="183"/>
      <x:c r="G57" s="183"/>
      <x:c r="H57" s="183"/>
      <x:c r="I57" s="183"/>
      <x:c r="J57" s="183"/>
      <x:c r="K57" s="183"/>
      <x:c r="L57" s="183"/>
      <x:c r="M57" s="183"/>
      <x:c r="N57" s="183"/>
    </x:row>
    <x:row r="58">
      <x:c r="A58" s="183"/>
      <x:c r="B58" s="183"/>
      <x:c r="C58" s="183"/>
      <x:c r="D58" s="183"/>
      <x:c r="E58" s="183"/>
      <x:c r="F58" s="183"/>
      <x:c r="G58" s="183"/>
      <x:c r="H58" s="183"/>
      <x:c r="I58" s="183"/>
      <x:c r="J58" s="183"/>
      <x:c r="K58" s="183"/>
      <x:c r="L58" s="183"/>
      <x:c r="M58" s="183"/>
      <x:c r="N58" s="183"/>
    </x:row>
    <x:row r="59">
      <x:c r="A59" s="183"/>
      <x:c r="B59" s="183"/>
      <x:c r="C59" s="183"/>
      <x:c r="D59" s="183"/>
      <x:c r="E59" s="183"/>
      <x:c r="F59" s="183"/>
      <x:c r="G59" s="183"/>
      <x:c r="H59" s="183"/>
      <x:c r="I59" s="183"/>
      <x:c r="J59" s="183"/>
      <x:c r="K59" s="183"/>
      <x:c r="L59" s="183"/>
      <x:c r="M59" s="183"/>
      <x:c r="N59" s="183"/>
    </x:row>
    <x:row r="60">
      <x:c r="A60" s="183"/>
      <x:c r="B60" s="183"/>
      <x:c r="C60" s="183"/>
      <x:c r="D60" s="183"/>
      <x:c r="E60" s="183"/>
      <x:c r="F60" s="183"/>
      <x:c r="G60" s="183"/>
      <x:c r="H60" s="183"/>
      <x:c r="I60" s="183"/>
      <x:c r="J60" s="183"/>
      <x:c r="K60" s="183"/>
      <x:c r="L60" s="183"/>
      <x:c r="M60" s="183"/>
      <x:c r="N60" s="183"/>
    </x:row>
    <x:row r="61">
      <x:c r="A61" s="183"/>
      <x:c r="B61" s="183"/>
      <x:c r="C61" s="183"/>
      <x:c r="D61" s="183"/>
      <x:c r="E61" s="183"/>
      <x:c r="F61" s="183"/>
      <x:c r="G61" s="183"/>
      <x:c r="H61" s="183"/>
      <x:c r="I61" s="183"/>
      <x:c r="J61" s="183"/>
      <x:c r="K61" s="183"/>
      <x:c r="L61" s="183"/>
      <x:c r="M61" s="183"/>
      <x:c r="N61" s="183"/>
    </x:row>
    <x:row r="62">
      <x:c r="A62" s="183"/>
      <x:c r="B62" s="183"/>
      <x:c r="C62" s="183"/>
      <x:c r="D62" s="183"/>
      <x:c r="E62" s="183"/>
      <x:c r="F62" s="183"/>
      <x:c r="G62" s="183"/>
      <x:c r="H62" s="183"/>
      <x:c r="I62" s="183"/>
      <x:c r="J62" s="183"/>
      <x:c r="K62" s="183"/>
      <x:c r="L62" s="183"/>
      <x:c r="M62" s="183"/>
      <x:c r="N62" s="183"/>
    </x:row>
    <x:row r="63">
      <x:c r="A63" s="183"/>
      <x:c r="B63" s="183"/>
      <x:c r="C63" s="183"/>
      <x:c r="D63" s="183"/>
      <x:c r="E63" s="183"/>
      <x:c r="F63" s="183"/>
      <x:c r="G63" s="183"/>
      <x:c r="H63" s="183"/>
      <x:c r="I63" s="183"/>
      <x:c r="J63" s="183"/>
      <x:c r="K63" s="183"/>
      <x:c r="L63" s="183"/>
      <x:c r="M63" s="183"/>
      <x:c r="N63" s="183"/>
    </x:row>
    <x:row r="64">
      <x:c r="A64" s="183"/>
      <x:c r="B64" s="183"/>
      <x:c r="C64" s="183"/>
      <x:c r="D64" s="183"/>
      <x:c r="E64" s="183"/>
      <x:c r="F64" s="183"/>
      <x:c r="G64" s="183"/>
      <x:c r="H64" s="183"/>
      <x:c r="I64" s="183"/>
      <x:c r="J64" s="183"/>
      <x:c r="K64" s="183"/>
      <x:c r="L64" s="183"/>
      <x:c r="M64" s="183"/>
      <x:c r="N64" s="183"/>
    </x:row>
    <x:row r="65">
      <x:c r="A65" s="183"/>
      <x:c r="B65" s="183"/>
      <x:c r="C65" s="183"/>
      <x:c r="D65" s="183"/>
      <x:c r="E65" s="183"/>
      <x:c r="F65" s="183"/>
      <x:c r="G65" s="183"/>
      <x:c r="H65" s="183"/>
      <x:c r="I65" s="183"/>
      <x:c r="J65" s="183"/>
      <x:c r="K65" s="183"/>
      <x:c r="L65" s="183"/>
      <x:c r="M65" s="183"/>
      <x:c r="N65" s="183"/>
    </x:row>
    <x:row r="66">
      <x:c r="A66" s="183"/>
      <x:c r="B66" s="183"/>
      <x:c r="C66" s="183"/>
      <x:c r="D66" s="183"/>
      <x:c r="E66" s="183"/>
      <x:c r="F66" s="183"/>
      <x:c r="G66" s="183"/>
      <x:c r="H66" s="183"/>
      <x:c r="I66" s="183"/>
      <x:c r="J66" s="183"/>
      <x:c r="K66" s="183"/>
      <x:c r="L66" s="183"/>
      <x:c r="M66" s="183"/>
      <x:c r="N66" s="183"/>
    </x:row>
    <x:row r="67">
      <x:c r="A67" s="183"/>
      <x:c r="B67" s="183"/>
      <x:c r="C67" s="183"/>
      <x:c r="D67" s="183"/>
      <x:c r="E67" s="183"/>
      <x:c r="F67" s="183"/>
      <x:c r="G67" s="183"/>
      <x:c r="H67" s="183"/>
      <x:c r="I67" s="183"/>
      <x:c r="J67" s="183"/>
      <x:c r="K67" s="183"/>
      <x:c r="L67" s="183"/>
      <x:c r="M67" s="183"/>
      <x:c r="N67" s="183"/>
    </x:row>
    <x:row r="68">
      <x:c r="A68" s="183"/>
      <x:c r="B68" s="183"/>
      <x:c r="C68" s="183"/>
      <x:c r="D68" s="183"/>
      <x:c r="E68" s="183"/>
      <x:c r="F68" s="183"/>
      <x:c r="G68" s="183"/>
      <x:c r="H68" s="183"/>
      <x:c r="I68" s="183"/>
      <x:c r="J68" s="183"/>
      <x:c r="K68" s="183"/>
      <x:c r="L68" s="183"/>
      <x:c r="M68" s="183"/>
      <x:c r="N68" s="183"/>
    </x:row>
    <x:row r="69">
      <x:c r="A69" s="183"/>
      <x:c r="B69" s="183"/>
      <x:c r="C69" s="183"/>
      <x:c r="D69" s="183"/>
      <x:c r="E69" s="183"/>
      <x:c r="F69" s="183"/>
      <x:c r="G69" s="183"/>
      <x:c r="H69" s="183"/>
      <x:c r="I69" s="183"/>
      <x:c r="J69" s="183"/>
      <x:c r="K69" s="183"/>
      <x:c r="L69" s="183"/>
      <x:c r="M69" s="183"/>
      <x:c r="N69" s="183"/>
    </x:row>
    <x:row r="70">
      <x:c r="A70" s="183"/>
      <x:c r="B70" s="183"/>
      <x:c r="C70" s="183"/>
      <x:c r="D70" s="183"/>
      <x:c r="E70" s="183"/>
      <x:c r="F70" s="183"/>
      <x:c r="G70" s="183"/>
      <x:c r="H70" s="183"/>
      <x:c r="I70" s="183"/>
      <x:c r="J70" s="183"/>
      <x:c r="K70" s="183"/>
      <x:c r="L70" s="183"/>
      <x:c r="M70" s="183"/>
      <x:c r="N70" s="183"/>
    </x:row>
    <x:row r="71">
      <x:c r="A71" s="183"/>
      <x:c r="B71" s="183"/>
      <x:c r="C71" s="183"/>
      <x:c r="D71" s="183"/>
      <x:c r="E71" s="183"/>
      <x:c r="F71" s="183"/>
      <x:c r="G71" s="183"/>
      <x:c r="H71" s="183"/>
      <x:c r="I71" s="183"/>
      <x:c r="J71" s="183"/>
      <x:c r="K71" s="183"/>
      <x:c r="L71" s="183"/>
      <x:c r="M71" s="183"/>
      <x:c r="N71" s="183"/>
    </x:row>
    <x:row r="72">
      <x:c r="A72" s="183"/>
      <x:c r="B72" s="183"/>
      <x:c r="C72" s="183"/>
      <x:c r="D72" s="183"/>
      <x:c r="E72" s="183"/>
      <x:c r="F72" s="183"/>
      <x:c r="G72" s="183"/>
      <x:c r="H72" s="183"/>
      <x:c r="I72" s="183"/>
      <x:c r="J72" s="183"/>
      <x:c r="K72" s="183"/>
      <x:c r="L72" s="183"/>
      <x:c r="M72" s="183"/>
      <x:c r="N72" s="183"/>
    </x:row>
    <x:row r="73">
      <x:c r="A73" s="183"/>
      <x:c r="B73" s="183"/>
      <x:c r="C73" s="183"/>
      <x:c r="D73" s="183"/>
      <x:c r="E73" s="183"/>
      <x:c r="F73" s="183"/>
      <x:c r="G73" s="183"/>
      <x:c r="H73" s="183"/>
      <x:c r="I73" s="183"/>
      <x:c r="J73" s="183"/>
      <x:c r="K73" s="183"/>
      <x:c r="L73" s="183"/>
      <x:c r="M73" s="183"/>
      <x:c r="N73" s="183"/>
    </x:row>
    <x:row r="74">
      <x:c r="A74" s="183"/>
      <x:c r="B74" s="183"/>
      <x:c r="C74" s="183"/>
      <x:c r="D74" s="183"/>
      <x:c r="E74" s="183"/>
      <x:c r="F74" s="183"/>
      <x:c r="G74" s="183"/>
      <x:c r="H74" s="183"/>
      <x:c r="I74" s="183"/>
      <x:c r="J74" s="183"/>
      <x:c r="K74" s="183"/>
      <x:c r="L74" s="183"/>
      <x:c r="M74" s="183"/>
      <x:c r="N74" s="183"/>
    </x:row>
    <x:row r="75">
      <x:c r="A75" s="183"/>
      <x:c r="B75" s="183"/>
      <x:c r="C75" s="183"/>
      <x:c r="D75" s="183"/>
      <x:c r="E75" s="183"/>
      <x:c r="F75" s="183"/>
      <x:c r="G75" s="183"/>
      <x:c r="H75" s="183"/>
      <x:c r="I75" s="183"/>
      <x:c r="J75" s="183"/>
      <x:c r="K75" s="183"/>
      <x:c r="L75" s="183"/>
      <x:c r="M75" s="183"/>
      <x:c r="N75" s="183"/>
    </x:row>
    <x:row r="76">
      <x:c r="A76" s="183"/>
      <x:c r="B76" s="183"/>
      <x:c r="C76" s="183"/>
      <x:c r="D76" s="183"/>
      <x:c r="E76" s="183"/>
      <x:c r="F76" s="183"/>
      <x:c r="G76" s="183"/>
      <x:c r="H76" s="183"/>
      <x:c r="I76" s="183"/>
      <x:c r="J76" s="183"/>
      <x:c r="K76" s="183"/>
      <x:c r="L76" s="183"/>
      <x:c r="M76" s="183"/>
      <x:c r="N76" s="183"/>
    </x:row>
    <x:row r="77">
      <x:c r="A77" s="183"/>
      <x:c r="B77" s="183"/>
      <x:c r="C77" s="183"/>
      <x:c r="D77" s="183"/>
      <x:c r="E77" s="183"/>
      <x:c r="F77" s="183"/>
      <x:c r="G77" s="183"/>
      <x:c r="H77" s="183"/>
      <x:c r="I77" s="183"/>
      <x:c r="J77" s="183"/>
      <x:c r="K77" s="183"/>
      <x:c r="L77" s="183"/>
      <x:c r="M77" s="183"/>
      <x:c r="N77" s="183"/>
    </x:row>
    <x:row r="78">
      <x:c r="A78" s="183"/>
      <x:c r="B78" s="183"/>
      <x:c r="C78" s="183"/>
      <x:c r="D78" s="183"/>
      <x:c r="E78" s="183"/>
      <x:c r="F78" s="183"/>
      <x:c r="G78" s="183"/>
      <x:c r="H78" s="183"/>
      <x:c r="I78" s="183"/>
      <x:c r="J78" s="183"/>
      <x:c r="K78" s="183"/>
      <x:c r="L78" s="183"/>
      <x:c r="M78" s="183"/>
      <x:c r="N78" s="183"/>
    </x:row>
    <x:row r="79">
      <x:c r="A79" s="183"/>
      <x:c r="B79" s="183"/>
      <x:c r="C79" s="183"/>
      <x:c r="D79" s="183"/>
      <x:c r="E79" s="183"/>
      <x:c r="F79" s="183"/>
      <x:c r="G79" s="183"/>
      <x:c r="H79" s="183"/>
      <x:c r="I79" s="183"/>
      <x:c r="J79" s="183"/>
      <x:c r="K79" s="183"/>
      <x:c r="L79" s="183"/>
      <x:c r="M79" s="183"/>
      <x:c r="N79" s="183"/>
    </x:row>
    <x:row r="80">
      <x:c r="A80" s="183"/>
      <x:c r="B80" s="183"/>
      <x:c r="C80" s="183"/>
      <x:c r="D80" s="183"/>
      <x:c r="E80" s="183"/>
      <x:c r="F80" s="183"/>
      <x:c r="G80" s="183"/>
      <x:c r="H80" s="183"/>
      <x:c r="I80" s="183"/>
      <x:c r="J80" s="183"/>
      <x:c r="K80" s="183"/>
      <x:c r="L80" s="183"/>
      <x:c r="M80" s="183"/>
      <x:c r="N80" s="183"/>
    </x:row>
    <x:row r="81">
      <x:c r="A81" s="183"/>
      <x:c r="B81" s="183"/>
      <x:c r="C81" s="183"/>
      <x:c r="D81" s="183"/>
      <x:c r="E81" s="183"/>
      <x:c r="F81" s="183"/>
      <x:c r="G81" s="183"/>
      <x:c r="H81" s="183"/>
      <x:c r="I81" s="183"/>
      <x:c r="J81" s="183"/>
      <x:c r="K81" s="183"/>
      <x:c r="L81" s="183"/>
      <x:c r="M81" s="183"/>
      <x:c r="N81" s="183"/>
    </x:row>
    <x:row r="82">
      <x:c r="A82" s="183"/>
      <x:c r="B82" s="183"/>
      <x:c r="C82" s="183"/>
      <x:c r="D82" s="183"/>
      <x:c r="E82" s="183"/>
      <x:c r="F82" s="183"/>
      <x:c r="G82" s="183"/>
      <x:c r="H82" s="183"/>
      <x:c r="I82" s="183"/>
      <x:c r="J82" s="183"/>
      <x:c r="K82" s="183"/>
      <x:c r="L82" s="183"/>
      <x:c r="M82" s="183"/>
      <x:c r="N82" s="183"/>
    </x:row>
    <x:row r="83">
      <x:c r="A83" s="183"/>
      <x:c r="B83" s="183"/>
      <x:c r="C83" s="183"/>
      <x:c r="D83" s="183"/>
      <x:c r="E83" s="183"/>
      <x:c r="F83" s="183"/>
      <x:c r="G83" s="183"/>
      <x:c r="H83" s="183"/>
      <x:c r="I83" s="183"/>
      <x:c r="J83" s="183"/>
      <x:c r="K83" s="183"/>
      <x:c r="L83" s="183"/>
      <x:c r="M83" s="183"/>
      <x:c r="N83" s="183"/>
    </x:row>
    <x:row r="84">
      <x:c r="A84" s="183"/>
      <x:c r="B84" s="183"/>
      <x:c r="C84" s="183"/>
      <x:c r="D84" s="183"/>
      <x:c r="E84" s="183"/>
      <x:c r="F84" s="183"/>
      <x:c r="G84" s="183"/>
      <x:c r="H84" s="183"/>
      <x:c r="I84" s="183"/>
      <x:c r="J84" s="183"/>
      <x:c r="K84" s="183"/>
      <x:c r="L84" s="183"/>
      <x:c r="M84" s="183"/>
      <x:c r="N84" s="183"/>
    </x:row>
    <x:row r="85">
      <x:c r="A85" s="183"/>
      <x:c r="B85" s="183"/>
      <x:c r="C85" s="183"/>
      <x:c r="D85" s="183"/>
      <x:c r="E85" s="183"/>
      <x:c r="F85" s="183"/>
      <x:c r="G85" s="183"/>
      <x:c r="H85" s="183"/>
      <x:c r="I85" s="183"/>
      <x:c r="J85" s="183"/>
      <x:c r="K85" s="183"/>
      <x:c r="L85" s="183"/>
      <x:c r="M85" s="183"/>
      <x:c r="N85" s="183"/>
    </x:row>
    <x:row r="86">
      <x:c r="A86" s="183"/>
      <x:c r="B86" s="183"/>
      <x:c r="C86" s="183"/>
      <x:c r="D86" s="183"/>
      <x:c r="E86" s="183"/>
      <x:c r="F86" s="183"/>
      <x:c r="G86" s="183"/>
      <x:c r="H86" s="183"/>
      <x:c r="I86" s="183"/>
      <x:c r="J86" s="183"/>
      <x:c r="K86" s="183"/>
      <x:c r="L86" s="183"/>
      <x:c r="M86" s="183"/>
      <x:c r="N86" s="183"/>
    </x:row>
    <x:row r="87">
      <x:c r="A87" s="183"/>
      <x:c r="B87" s="183"/>
      <x:c r="C87" s="183"/>
      <x:c r="D87" s="183"/>
      <x:c r="E87" s="183"/>
      <x:c r="F87" s="183"/>
      <x:c r="G87" s="183"/>
      <x:c r="H87" s="183"/>
      <x:c r="I87" s="183"/>
      <x:c r="J87" s="183"/>
      <x:c r="K87" s="183"/>
      <x:c r="L87" s="183"/>
      <x:c r="M87" s="183"/>
      <x:c r="N87" s="183"/>
    </x:row>
    <x:row r="88">
      <x:c r="A88" s="183"/>
      <x:c r="B88" s="183"/>
      <x:c r="C88" s="183"/>
      <x:c r="D88" s="183"/>
      <x:c r="E88" s="183"/>
      <x:c r="F88" s="183"/>
      <x:c r="G88" s="183"/>
      <x:c r="H88" s="183"/>
      <x:c r="I88" s="183"/>
      <x:c r="J88" s="183"/>
      <x:c r="K88" s="183"/>
      <x:c r="L88" s="183"/>
      <x:c r="M88" s="183"/>
      <x:c r="N88" s="183"/>
    </x:row>
    <x:row r="89">
      <x:c r="A89" s="183"/>
      <x:c r="B89" s="183"/>
      <x:c r="C89" s="183"/>
      <x:c r="D89" s="183"/>
      <x:c r="E89" s="183"/>
      <x:c r="F89" s="183"/>
      <x:c r="G89" s="183"/>
      <x:c r="H89" s="183"/>
      <x:c r="I89" s="183"/>
      <x:c r="J89" s="183"/>
      <x:c r="K89" s="183"/>
      <x:c r="L89" s="183"/>
      <x:c r="M89" s="183"/>
      <x:c r="N89" s="183"/>
    </x:row>
    <x:row r="90">
      <x:c r="A90" s="183"/>
      <x:c r="B90" s="183"/>
      <x:c r="C90" s="183"/>
      <x:c r="D90" s="183"/>
      <x:c r="E90" s="183"/>
      <x:c r="F90" s="183"/>
      <x:c r="G90" s="183"/>
      <x:c r="H90" s="183"/>
      <x:c r="I90" s="183"/>
      <x:c r="J90" s="183"/>
      <x:c r="K90" s="183"/>
      <x:c r="L90" s="183"/>
      <x:c r="M90" s="183"/>
      <x:c r="N90" s="183"/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265" t="str">
        <x:v>Histórico: cambios incorporados en la versión 4</x:v>
      </x:c>
      <x:c r="B1" s="265"/>
      <x:c r="C1" s="265"/>
      <x:c r="D1" s="265"/>
      <x:c r="E1" s="265"/>
      <x:c r="F1" s="265"/>
      <x:c r="G1" s="265"/>
      <x:c r="H1" s="265"/>
    </x:row>
    <x:row r="2" ht="34" customHeight="1">
      <x:c r="A2" s="269" t="str">
        <x:v>Esta hoja se conserva como referencia histórica. La comparación con la última versión está en 10_Cambios_V5.</x:v>
      </x:c>
      <x:c r="B2" s="269"/>
      <x:c r="C2" s="269"/>
      <x:c r="D2" s="269"/>
      <x:c r="E2" s="269"/>
      <x:c r="F2" s="269"/>
      <x:c r="G2" s="269"/>
      <x:c r="H2" s="269"/>
    </x:row>
    <x:row r="4" ht="22" customHeight="1">
      <x:c r="A4" s="243" t="str">
        <x:v>Comparación técnica con la versión anterior</x:v>
      </x:c>
      <x:c r="B4" s="243"/>
      <x:c r="C4" s="243"/>
      <x:c r="D4" s="243"/>
      <x:c r="E4" s="243"/>
      <x:c r="F4" s="243"/>
      <x:c r="G4" s="243"/>
      <x:c r="H4" s="243"/>
    </x:row>
    <x:row r="5">
      <x:c r="A5" s="247" t="str">
        <x:v>Área</x:v>
      </x:c>
      <x:c r="B5" s="247" t="str">
        <x:v>Versión anterior</x:v>
      </x:c>
      <x:c r="C5" s="247" t="str">
        <x:v>Nueva versión</x:v>
      </x:c>
      <x:c r="D5" s="247" t="str">
        <x:v>Impacto en el negocio</x:v>
      </x:c>
      <x:c r="E5" s="247" t="str">
        <x:v>Cambio en el Excel</x:v>
      </x:c>
    </x:row>
    <x:row r="6">
      <x:c r="A6" s="251" t="str">
        <x:v>Catálogo</x:v>
      </x:c>
      <x:c r="B6" s="36" t="str">
        <x:v>21 juegos / 11 originales</x:v>
      </x:c>
      <x:c r="C6" s="36" t="str">
        <x:v>21 juegos / 11 originales</x:v>
      </x:c>
      <x:c r="D6" s="36" t="str">
        <x:v>La propuesta y demanda potencial se mantienen.</x:v>
      </x:c>
      <x:c r="E6" s="36" t="str">
        <x:v>Sin cambios en usuarios o partidas.</x:v>
      </x:c>
    </x:row>
    <x:row r="7">
      <x:c r="A7" s="251" t="str">
        <x:v>Framework</x:v>
      </x:c>
      <x:c r="B7" s="36" t="str">
        <x:v>Laravel 10 / PHP 8.1</x:v>
      </x:c>
      <x:c r="C7" s="36" t="str">
        <x:v>Laravel 12.61 / PHP 8.2</x:v>
      </x:c>
      <x:c r="D7" s="36" t="str">
        <x:v>Mejor soporte y seguridad; mantenimiento más exigente.</x:v>
      </x:c>
      <x:c r="E7" s="36" t="str">
        <x:v>Sube mantenimiento técnico.</x:v>
      </x:c>
    </x:row>
    <x:row r="8">
      <x:c r="A8" s="251" t="str">
        <x:v>Seguridad</x:v>
      </x:c>
      <x:c r="B8" s="36" t="str">
        <x:v>Controles básicos</x:v>
      </x:c>
      <x:c r="C8" s="36" t="str">
        <x:v>Verificación, MFA admin, headers, hosts/proxies y reglas de email</x:v>
      </x:c>
      <x:c r="D8" s="36" t="str">
        <x:v>Menor riesgo reputacional y operativo.</x:v>
      </x:c>
      <x:c r="E8" s="36" t="str">
        <x:v>Sube ligeramente cumplimiento y QA.</x:v>
      </x:c>
    </x:row>
    <x:row r="9">
      <x:c r="A9" s="251" t="str">
        <x:v>Depósitos demo</x:v>
      </x:c>
      <x:c r="B9" s="36" t="str">
        <x:v>Disponibles desde perfil</x:v>
      </x:c>
      <x:c r="C9" s="36" t="str">
        <x:v>Desactivados por defecto en producción y solo para demos</x:v>
      </x:c>
      <x:c r="D9" s="36" t="str">
        <x:v>Modelo comercial más claramente free-to-play.</x:v>
      </x:c>
      <x:c r="E9" s="36" t="str">
        <x:v>No se añaden ingresos por depósitos.</x:v>
      </x:c>
    </x:row>
    <x:row r="10">
      <x:c r="A10" s="251" t="str">
        <x:v>Pruebas</x:v>
      </x:c>
      <x:c r="B10" s="36" t="str">
        <x:v>Suite Laravel</x:v>
      </x:c>
      <x:c r="C10" s="36" t="str">
        <x:v>32 Feature, 1 Unit, MySQL aislado y Playwright</x:v>
      </x:c>
      <x:c r="D10" s="36" t="str">
        <x:v>Menos regresiones y mayor coste de validación.</x:v>
      </x:c>
      <x:c r="E10" s="36" t="str">
        <x:v>Suben software y mantenimiento.</x:v>
      </x:c>
    </x:row>
    <x:row r="11">
      <x:c r="A11" s="251" t="str">
        <x:v>Diseño</x:v>
      </x:c>
      <x:c r="B11" s="36" t="str">
        <x:v>Recursos externos y visuales básicos</x:v>
      </x:c>
      <x:c r="C11" s="36" t="str">
        <x:v>183 recursos locales, aproximadamente 48 MB</x:v>
      </x:c>
      <x:c r="D11" s="36" t="str">
        <x:v>Mejor presentación y marca.</x:v>
      </x:c>
      <x:c r="E11" s="36" t="str">
        <x:v>Sube CDN/infra variable; baja parte del branding futuro.</x:v>
      </x:c>
    </x:row>
    <x:row r="12">
      <x:c r="A12" s="251" t="str">
        <x:v>Cajas</x:v>
      </x:c>
      <x:c r="B12" s="36" t="str">
        <x:v>EV superior al precio</x:v>
      </x:c>
      <x:c r="C12" s="36" t="str">
        <x:v>EV aproximado del 95–96 % del precio</x:v>
      </x:c>
      <x:c r="D12" s="36" t="str">
        <x:v>Economía virtual corregida, pero margen físico insuficiente.</x:v>
      </x:c>
      <x:c r="E12" s="36" t="str">
        <x:v>Coste de premios actualizado al 95–97 %.</x:v>
      </x:c>
    </x:row>
    <x:row r="13">
      <x:c r="A13" s="251" t="str">
        <x:v>Despliegue</x:v>
      </x:c>
      <x:c r="B13" s="36" t="str">
        <x:v>Configuración general</x:v>
      </x:c>
      <x:c r="C13" s="36" t="str">
        <x:v>Nginx, Redis, colas, scheduler, healthchecks y guía</x:v>
      </x:c>
      <x:c r="D13" s="36" t="str">
        <x:v>Mayor preparación para producción.</x:v>
      </x:c>
      <x:c r="E13" s="36" t="str">
        <x:v>Servidor base actualizado.</x:v>
      </x:c>
    </x:row>
    <x:row r="15" ht="22" customHeight="1">
      <x:c r="A15" s="243" t="str">
        <x:v>Supuestos modificados</x:v>
      </x:c>
      <x:c r="B15" s="243"/>
      <x:c r="C15" s="243"/>
      <x:c r="D15" s="243"/>
      <x:c r="E15" s="243"/>
      <x:c r="F15" s="243"/>
      <x:c r="G15" s="243"/>
      <x:c r="H15" s="243"/>
    </x:row>
    <x:row r="16">
      <x:c r="A16" s="247" t="str">
        <x:v>Variable</x:v>
      </x:c>
      <x:c r="B16" s="247" t="str">
        <x:v>Plan anterior realista</x:v>
      </x:c>
      <x:c r="C16" s="247" t="str">
        <x:v>Nuevo plan realista</x:v>
      </x:c>
      <x:c r="D16" s="247" t="str">
        <x:v>Variación</x:v>
      </x:c>
      <x:c r="E16" s="247" t="str">
        <x:v>Motivo</x:v>
      </x:c>
    </x:row>
    <x:row r="17">
      <x:c r="A17" s="251" t="str">
        <x:v>Precio medio de caja</x:v>
      </x:c>
      <x:c r="B17" s="285" t="n">
        <x:v>6.99</x:v>
      </x:c>
      <x:c r="C17" s="285" t="n">
        <x:v>12.99</x:v>
      </x:c>
      <x:c r="D17" s="287" t="n">
        <x:f>IFERROR(C17/B17-1,0)</x:f>
        <x:v>0.8583690987124464</x:v>
      </x:c>
      <x:c r="E17" s="36" t="str">
        <x:v>Precios actuales de 2,99 € a 49,99 €.</x:v>
      </x:c>
    </x:row>
    <x:row r="18">
      <x:c r="A18" s="251" t="str">
        <x:v>Coste premios cajas</x:v>
      </x:c>
      <x:c r="B18" s="286" t="n">
        <x:v>0.6</x:v>
      </x:c>
      <x:c r="C18" s="286" t="n">
        <x:v>0.96</x:v>
      </x:c>
      <x:c r="D18" s="287" t="n">
        <x:f>IFERROR(C18/B18-1,0)</x:f>
        <x:v>0.6000000000000001</x:v>
      </x:c>
      <x:c r="E18" s="36" t="str">
        <x:v>El EV configurado es aproximadamente del 95–96 %.</x:v>
      </x:c>
    </x:row>
    <x:row r="19">
      <x:c r="A19" s="251" t="str">
        <x:v>Servidor base mensual</x:v>
      </x:c>
      <x:c r="B19" s="285" t="n">
        <x:v>180</x:v>
      </x:c>
      <x:c r="C19" s="285" t="n">
        <x:v>240</x:v>
      </x:c>
      <x:c r="D19" s="287" t="n">
        <x:f>IFERROR(C19/B19-1,0)</x:f>
        <x:v>0.33333333333333326</x:v>
      </x:c>
      <x:c r="E19" s="36" t="str">
        <x:v>Redis, colas, scheduler, backups, HTTPS y más recursos.</x:v>
      </x:c>
    </x:row>
    <x:row r="20">
      <x:c r="A20" s="251" t="str">
        <x:v>Infraestructura variable por activo</x:v>
      </x:c>
      <x:c r="B20" s="285" t="n">
        <x:v>0.025</x:v>
      </x:c>
      <x:c r="C20" s="285" t="n">
        <x:v>0.035</x:v>
      </x:c>
      <x:c r="D20" s="287" t="n">
        <x:f>IFERROR(C20/B20-1,0)</x:f>
        <x:v>0.40000000000000013</x:v>
      </x:c>
      <x:c r="E20" s="36" t="str">
        <x:v>Paquete visual, CDN, tráfico y almacenamiento.</x:v>
      </x:c>
    </x:row>
    <x:row r="21">
      <x:c r="A21" s="251" t="str">
        <x:v>Desarrollo y mantenimiento mensual</x:v>
      </x:c>
      <x:c r="B21" s="285" t="n">
        <x:v>900</x:v>
      </x:c>
      <x:c r="C21" s="285" t="n">
        <x:v>1100</x:v>
      </x:c>
      <x:c r="D21" s="287" t="n">
        <x:f>IFERROR(C21/B21-1,0)</x:f>
        <x:v>0.22222222222222232</x:v>
      </x:c>
      <x:c r="E21" s="36" t="str">
        <x:v>Laravel 12, seguridad, tests y 21 juegos.</x:v>
      </x:c>
    </x:row>
    <x:row r="22">
      <x:c r="A22" s="251" t="str">
        <x:v>Software y monitorización mensual</x:v>
      </x:c>
      <x:c r="B22" s="285" t="n">
        <x:v>140</x:v>
      </x:c>
      <x:c r="C22" s="285" t="n">
        <x:v>190</x:v>
      </x:c>
      <x:c r="D22" s="287" t="n">
        <x:f>IFERROR(C22/B22-1,0)</x:f>
        <x:v>0.3571428571428572</x:v>
      </x:c>
      <x:c r="E22" s="36" t="str">
        <x:v>Correo, logs, alertas, Playwright y observabilidad.</x:v>
      </x:c>
    </x:row>
    <x:row r="23">
      <x:c r="A23" s="251" t="str">
        <x:v>Legal y cumplimiento anual</x:v>
      </x:c>
      <x:c r="B23" s="285" t="n">
        <x:v>6000</x:v>
      </x:c>
      <x:c r="C23" s="285" t="n">
        <x:v>7000</x:v>
      </x:c>
      <x:c r="D23" s="287" t="n">
        <x:f>IFERROR(C23/B23-1,0)</x:f>
        <x:v>0.16666666666666674</x:v>
      </x:c>
      <x:c r="E23" s="36" t="str">
        <x:v>Privacidad, consentimiento, edad y alcance de cajas/apuestas.</x:v>
      </x:c>
    </x:row>
    <x:row r="24">
      <x:c r="A24" s="251" t="str">
        <x:v>Inversión inicial de desarrollo</x:v>
      </x:c>
      <x:c r="B24" s="285" t="n">
        <x:v>30000</x:v>
      </x:c>
      <x:c r="C24" s="285" t="n">
        <x:v>36000</x:v>
      </x:c>
      <x:c r="D24" s="287" t="n">
        <x:f>IFERROR(C24/B24-1,0)</x:f>
        <x:v>0.19999999999999996</x:v>
      </x:c>
      <x:c r="E24" s="36" t="str">
        <x:v>Valor actualizado del trabajo técnico y visual.</x:v>
      </x:c>
    </x:row>
    <x:row r="25">
      <x:c r="A25" s="251" t="str">
        <x:v>Lanzamiento y branding inicial</x:v>
      </x:c>
      <x:c r="B25" s="285" t="n">
        <x:v>5000</x:v>
      </x:c>
      <x:c r="C25" s="285" t="n">
        <x:v>4500</x:v>
      </x:c>
      <x:c r="D25" s="287" t="n">
        <x:f>IFERROR(C25/B25-1,0)</x:f>
        <x:v>-0.09999999999999998</x:v>
      </x:c>
      <x:c r="E25" s="36" t="str">
        <x:v>Los principales recursos visuales ya están producidos.</x:v>
      </x:c>
    </x:row>
    <x:row r="27" ht="22" customHeight="1">
      <x:c r="A27" s="243" t="str">
        <x:v>Conclusión de la actualización</x:v>
      </x:c>
      <x:c r="B27" s="243"/>
      <x:c r="C27" s="243"/>
      <x:c r="D27" s="243"/>
      <x:c r="E27" s="243"/>
      <x:c r="F27" s="243"/>
      <x:c r="G27" s="243"/>
      <x:c r="H27" s="243"/>
    </x:row>
    <x:row r="28">
      <x:c r="A28" s="250" t="str">
        <x:v>No se ha cambiado la tesis empresarial principal: Lootra continúa siendo una plataforma de entretenimiento con créditos virtuales, monetizable mediante premium, publicidad, patrocinios y afiliación. La nueva versión reduce riesgos técnicos y mejora la imagen, pero exige algo más de infraestructura, mantenimiento y validación. Las cajas son más coherentes que antes, aunque deben seguir siendo virtuales hasta disponer de margen suficiente y un marco jurídico aprobado.</x:v>
      </x:c>
      <x:c r="B28" s="250"/>
      <x:c r="C28" s="250"/>
      <x:c r="D28" s="250"/>
      <x:c r="E28" s="250"/>
      <x:c r="F28" s="250"/>
      <x:c r="G28" s="250"/>
      <x:c r="H28" s="250"/>
    </x:row>
    <x:row r="29">
      <x:c r="A29" s="250"/>
      <x:c r="B29" s="250"/>
      <x:c r="C29" s="250"/>
      <x:c r="D29" s="250"/>
      <x:c r="E29" s="250"/>
      <x:c r="F29" s="250"/>
      <x:c r="G29" s="250"/>
      <x:c r="H29" s="250"/>
    </x:row>
    <x:row r="30">
      <x:c r="A30" s="250"/>
      <x:c r="B30" s="250"/>
      <x:c r="C30" s="250"/>
      <x:c r="D30" s="250"/>
      <x:c r="E30" s="250"/>
      <x:c r="F30" s="250"/>
      <x:c r="G30" s="250"/>
      <x:c r="H30" s="250"/>
    </x:row>
    <x:row r="31">
      <x:c r="A31" s="250"/>
      <x:c r="B31" s="250"/>
      <x:c r="C31" s="250"/>
      <x:c r="D31" s="250"/>
      <x:c r="E31" s="250"/>
      <x:c r="F31" s="250"/>
      <x:c r="G31" s="250"/>
      <x:c r="H31" s="250"/>
    </x:row>
  </x:sheetData>
  <x:mergeCells>
    <x:mergeCell ref="A1:H1"/>
    <x:mergeCell ref="A2:H2"/>
    <x:mergeCell ref="A4:H4"/>
    <x:mergeCell ref="A15:H15"/>
    <x:mergeCell ref="A27:H27"/>
    <x:mergeCell ref="A28:H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18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321" t="str">
        <x:v>Cambios de Lootra V5 y efecto en el plan</x:v>
      </x:c>
      <x:c r="B1" s="321"/>
      <x:c r="C1" s="321"/>
      <x:c r="D1" s="321"/>
      <x:c r="E1" s="321"/>
      <x:c r="F1" s="321"/>
      <x:c r="G1" s="321"/>
      <x:c r="H1" s="321"/>
    </x:row>
    <x:row r="2" ht="34" customHeight="1">
      <x:c r="A2" s="325" t="str">
        <x:v>La propuesta comercial se mantiene; la nueva versión completa la simulación económica y la trazabilidad.</x:v>
      </x:c>
      <x:c r="B2" s="325"/>
      <x:c r="C2" s="325"/>
      <x:c r="D2" s="325"/>
      <x:c r="E2" s="325"/>
      <x:c r="F2" s="325"/>
      <x:c r="G2" s="325"/>
      <x:c r="H2" s="325"/>
    </x:row>
    <x:row r="4" ht="22" customHeight="1">
      <x:c r="A4" s="300" t="str">
        <x:v>Comparación con la versión anterior</x:v>
      </x:c>
      <x:c r="B4" s="300"/>
      <x:c r="C4" s="300"/>
      <x:c r="D4" s="300"/>
      <x:c r="E4" s="300"/>
      <x:c r="F4" s="300"/>
      <x:c r="G4" s="300"/>
      <x:c r="H4" s="300"/>
    </x:row>
    <x:row r="5">
      <x:c r="A5" s="301" t="str">
        <x:v>Área</x:v>
      </x:c>
      <x:c r="B5" s="301" t="str">
        <x:v>Versión anterior</x:v>
      </x:c>
      <x:c r="C5" s="301" t="str">
        <x:v>Nueva versión</x:v>
      </x:c>
      <x:c r="D5" s="301" t="str">
        <x:v>Impacto empresarial</x:v>
      </x:c>
      <x:c r="E5" s="301" t="str">
        <x:v>Cambio en el modelo</x:v>
      </x:c>
    </x:row>
    <x:row r="6">
      <x:c r="A6" s="302" t="str">
        <x:v>Catálogo</x:v>
      </x:c>
      <x:c r="B6" s="36" t="str">
        <x:v>21 juegos / 11 originales</x:v>
      </x:c>
      <x:c r="C6" s="36" t="str">
        <x:v>21 juegos / 11 originales</x:v>
      </x:c>
      <x:c r="D6" s="36" t="str">
        <x:v>No cambia la demanda potencial.</x:v>
      </x:c>
      <x:c r="E6" s="36" t="str">
        <x:v>Sin cambios en usuarios ni partidas.</x:v>
      </x:c>
    </x:row>
    <x:row r="7">
      <x:c r="A7" s="302" t="str">
        <x:v>Economía</x:v>
      </x:c>
      <x:c r="B7" s="36" t="str">
        <x:v>Cartera y movimientos</x:v>
      </x:c>
      <x:c r="C7" s="36" t="str">
        <x:v>Ledger de doble entrada y cuentas internas</x:v>
      </x:c>
      <x:c r="D7" s="36" t="str">
        <x:v>Mejor trazabilidad y valor de demostración.</x:v>
      </x:c>
      <x:c r="E7" s="36" t="str">
        <x:v>Sube mantenimiento.</x:v>
      </x:c>
    </x:row>
    <x:row r="8">
      <x:c r="A8" s="302" t="str">
        <x:v>Tesorería</x:v>
      </x:c>
      <x:c r="B8" s="36" t="str">
        <x:v>Sin flujo completo de reservas</x:v>
      </x:c>
      <x:c r="C8" s="36" t="str">
        <x:v>Tesorería, reservas y cobertura de pasivos demo</x:v>
      </x:c>
      <x:c r="D8" s="36" t="str">
        <x:v>Permite mostrar liquidez y retiradas.</x:v>
      </x:c>
      <x:c r="E8" s="36" t="str">
        <x:v>Sube soporte e infraestructura.</x:v>
      </x:c>
    </x:row>
    <x:row r="9">
      <x:c r="A9" s="302" t="str">
        <x:v>Retiradas</x:v>
      </x:c>
      <x:c r="B9" s="36" t="str">
        <x:v>Flujo limitado</x:v>
      </x:c>
      <x:c r="C9" s="36" t="str">
        <x:v>Solicitud, reserva, revisión, cancelación y finalización demo</x:v>
      </x:c>
      <x:c r="D9" s="36" t="str">
        <x:v>Completa el recorrido económico.</x:v>
      </x:c>
      <x:c r="E9" s="36" t="str">
        <x:v>Sube soporte fijo/variable.</x:v>
      </x:c>
    </x:row>
    <x:row r="10">
      <x:c r="A10" s="302" t="str">
        <x:v>Matemáticas</x:v>
      </x:c>
      <x:c r="B10" s="36" t="str">
        <x:v>Configuración dispersa</x:v>
      </x:c>
      <x:c r="C10" s="36" t="str">
        <x:v>Versiones, RTP y exposición por juego</x:v>
      </x:c>
      <x:c r="D10" s="36" t="str">
        <x:v>Mejor explicación del margen y riesgo.</x:v>
      </x:c>
      <x:c r="E10" s="36" t="str">
        <x:v>Sube QA y mantenimiento.</x:v>
      </x:c>
    </x:row>
    <x:row r="11">
      <x:c r="A11" s="302" t="str">
        <x:v>Simulación</x:v>
      </x:c>
      <x:c r="B11" s="36" t="str">
        <x:v>Sin simulador empresarial integrado</x:v>
      </x:c>
      <x:c r="C11" s="36" t="str">
        <x:v>Comando determinista con hash reproducible</x:v>
      </x:c>
      <x:c r="D11" s="36" t="str">
        <x:v>Facilita demostraciones y escenarios.</x:v>
      </x:c>
      <x:c r="E11" s="36" t="str">
        <x:v>Nueva hoja 11_Economia_Demo.</x:v>
      </x:c>
    </x:row>
    <x:row r="12">
      <x:c r="A12" s="302" t="str">
        <x:v>Cajas</x:v>
      </x:c>
      <x:c r="B12" s="36" t="str">
        <x:v>Cosméticos virtuales</x:v>
      </x:c>
      <x:c r="C12" s="36" t="str">
        <x:v>Cosméticos sin saldo ni obligación monetaria</x:v>
      </x:c>
      <x:c r="D12" s="36" t="str">
        <x:v>Reduce el coste efectivo de premio.</x:v>
      </x:c>
      <x:c r="E12" s="36" t="str">
        <x:v>Coste real estimado baja al 8–15 %.</x:v>
      </x:c>
    </x:row>
    <x:row r="13">
      <x:c r="A13" s="302" t="str">
        <x:v>Pruebas</x:v>
      </x:c>
      <x:c r="B13" s="36" t="str">
        <x:v>Suite amplia</x:v>
      </x:c>
      <x:c r="C13" s="36" t="str">
        <x:v>159 métodos PHP y 3 Playwright detectados</x:v>
      </x:c>
      <x:c r="D13" s="36" t="str">
        <x:v>Mayor madurez técnica.</x:v>
      </x:c>
      <x:c r="E13" s="36" t="str">
        <x:v>Sube software y QA.</x:v>
      </x:c>
    </x:row>
    <x:row r="14">
      <x:c r="A14" s="302" t="str">
        <x:v>Recursos</x:v>
      </x:c>
      <x:c r="B14" s="36" t="str">
        <x:v>Aproximadamente 48 MB</x:v>
      </x:c>
      <x:c r="C14" s="36" t="str">
        <x:v>215 recursos, aproximadamente 64,9 MB</x:v>
      </x:c>
      <x:c r="D14" s="36" t="str">
        <x:v>Mejor presentación, mayor peso.</x:v>
      </x:c>
      <x:c r="E14" s="36" t="str">
        <x:v>Sube ligeramente infraestructura.</x:v>
      </x:c>
    </x:row>
    <x:row r="15">
      <x:c r="A15" s="302" t="str">
        <x:v>Documentación</x:v>
      </x:c>
      <x:c r="B15" s="36" t="str">
        <x:v>Guías de seguridad y diseño</x:v>
      </x:c>
      <x:c r="C15" s="36" t="str">
        <x:v>README final, arquitectura, economía y guía demo</x:v>
      </x:c>
      <x:c r="D15" s="36" t="str">
        <x:v>Facilita instalación y presentación.</x:v>
      </x:c>
      <x:c r="E15" s="36" t="str">
        <x:v>Reduce costes de onboarding.</x:v>
      </x:c>
    </x:row>
    <x:row r="17" ht="22" customHeight="1">
      <x:c r="A17" s="300" t="str">
        <x:v>Supuestos modificados frente al plan V4</x:v>
      </x:c>
      <x:c r="B17" s="300"/>
      <x:c r="C17" s="300"/>
      <x:c r="D17" s="300"/>
      <x:c r="E17" s="300"/>
      <x:c r="F17" s="300"/>
      <x:c r="G17" s="300"/>
      <x:c r="H17" s="300"/>
    </x:row>
    <x:row r="18">
      <x:c r="A18" s="301" t="str">
        <x:v>Variable</x:v>
      </x:c>
      <x:c r="B18" s="301" t="str">
        <x:v>Plan V4 realista</x:v>
      </x:c>
      <x:c r="C18" s="301" t="str">
        <x:v>Plan V5 realista</x:v>
      </x:c>
      <x:c r="D18" s="301" t="str">
        <x:v>Variación</x:v>
      </x:c>
      <x:c r="E18" s="301" t="str">
        <x:v>Motivo</x:v>
      </x:c>
    </x:row>
    <x:row r="19">
      <x:c r="A19" s="302" t="str">
        <x:v>Coste monetario de premios de cajas</x:v>
      </x:c>
      <x:c r="B19" s="341" t="n">
        <x:v>0.96</x:v>
      </x:c>
      <x:c r="C19" s="341" t="n">
        <x:v>0.1</x:v>
      </x:c>
      <x:c r="D19" s="287" t="n">
        <x:f>IFERROR(C19/B19-1,0)</x:f>
        <x:v>-0.8958333333333334</x:v>
      </x:c>
      <x:c r="E19" s="36" t="str">
        <x:v>Ahora son cosméticos sin canje ni obligación monetaria.</x:v>
      </x:c>
    </x:row>
    <x:row r="20">
      <x:c r="A20" s="302" t="str">
        <x:v>Servidor base mensual</x:v>
      </x:c>
      <x:c r="B20" s="342" t="n">
        <x:v>240</x:v>
      </x:c>
      <x:c r="C20" s="342" t="n">
        <x:v>260</x:v>
      </x:c>
      <x:c r="D20" s="287" t="n">
        <x:f>IFERROR(C20/B20-1,0)</x:f>
        <x:v>0.08333333333333326</x:v>
      </x:c>
      <x:c r="E20" s="36" t="str">
        <x:v>Ledger, tesorería, colas, backups y más registros.</x:v>
      </x:c>
    </x:row>
    <x:row r="21">
      <x:c r="A21" s="302" t="str">
        <x:v>Infraestructura variable por activo</x:v>
      </x:c>
      <x:c r="B21" s="342" t="n">
        <x:v>0.035</x:v>
      </x:c>
      <x:c r="C21" s="342" t="n">
        <x:v>0.038</x:v>
      </x:c>
      <x:c r="D21" s="287" t="n">
        <x:f>IFERROR(C21/B21-1,0)</x:f>
        <x:v>0.08571428571428563</x:v>
      </x:c>
      <x:c r="E21" s="36" t="str">
        <x:v>Aumentan recursos gráficos y almacenamiento.</x:v>
      </x:c>
    </x:row>
    <x:row r="22">
      <x:c r="A22" s="302" t="str">
        <x:v>Desarrollo y mantenimiento mensual</x:v>
      </x:c>
      <x:c r="B22" s="342" t="n">
        <x:v>1100</x:v>
      </x:c>
      <x:c r="C22" s="342" t="n">
        <x:v>1200</x:v>
      </x:c>
      <x:c r="D22" s="287" t="n">
        <x:f>IFERROR(C22/B22-1,0)</x:f>
        <x:v>0.09090909090909083</x:v>
      </x:c>
      <x:c r="E22" s="36" t="str">
        <x:v>Economía, retiradas, matemáticas y simulación.</x:v>
      </x:c>
    </x:row>
    <x:row r="23">
      <x:c r="A23" s="302" t="str">
        <x:v>Software y monitorización mensual</x:v>
      </x:c>
      <x:c r="B23" s="342" t="n">
        <x:v>190</x:v>
      </x:c>
      <x:c r="C23" s="342" t="n">
        <x:v>220</x:v>
      </x:c>
      <x:c r="D23" s="287" t="n">
        <x:f>IFERROR(C23/B23-1,0)</x:f>
        <x:v>0.1578947368421053</x:v>
      </x:c>
      <x:c r="E23" s="36" t="str">
        <x:v>Más observabilidad, QA y registros económicos.</x:v>
      </x:c>
    </x:row>
    <x:row r="24">
      <x:c r="A24" s="302" t="str">
        <x:v>Soporte fijo mensual</x:v>
      </x:c>
      <x:c r="B24" s="342" t="n">
        <x:v>300</x:v>
      </x:c>
      <x:c r="C24" s="342" t="n">
        <x:v>350</x:v>
      </x:c>
      <x:c r="D24" s="287" t="n">
        <x:f>IFERROR(C24/B24-1,0)</x:f>
        <x:v>0.16666666666666674</x:v>
      </x:c>
      <x:c r="E24" s="36" t="str">
        <x:v>Revisión de retiradas e incidencias demo.</x:v>
      </x:c>
    </x:row>
    <x:row r="25">
      <x:c r="A25" s="302" t="str">
        <x:v>Soporte variable por activo</x:v>
      </x:c>
      <x:c r="B25" s="342" t="n">
        <x:v>0.015</x:v>
      </x:c>
      <x:c r="C25" s="342" t="n">
        <x:v>0.018</x:v>
      </x:c>
      <x:c r="D25" s="287" t="n">
        <x:f>IFERROR(C25/B25-1,0)</x:f>
        <x:v>0.19999999999999996</x:v>
      </x:c>
      <x:c r="E25" s="36" t="str">
        <x:v>Más operaciones y consultas del usuario.</x:v>
      </x:c>
    </x:row>
    <x:row r="26">
      <x:c r="A26" s="302" t="str">
        <x:v>Otros costes fijos mensuales</x:v>
      </x:c>
      <x:c r="B26" s="342" t="n">
        <x:v>200</x:v>
      </x:c>
      <x:c r="C26" s="342" t="n">
        <x:v>220</x:v>
      </x:c>
      <x:c r="D26" s="287" t="n">
        <x:f>IFERROR(C26/B26-1,0)</x:f>
        <x:v>0.10000000000000009</x:v>
      </x:c>
      <x:c r="E26" s="36" t="str">
        <x:v>Mayor reserva operativa.</x:v>
      </x:c>
    </x:row>
    <x:row r="27">
      <x:c r="A27" s="302" t="str">
        <x:v>Inversión inicial de desarrollo</x:v>
      </x:c>
      <x:c r="B27" s="342" t="n">
        <x:v>36000</x:v>
      </x:c>
      <x:c r="C27" s="342" t="n">
        <x:v>42000</x:v>
      </x:c>
      <x:c r="D27" s="287" t="n">
        <x:f>IFERROR(C27/B27-1,0)</x:f>
        <x:v>0.16666666666666674</x:v>
      </x:c>
      <x:c r="E27" s="36" t="str">
        <x:v>Valor actualizado del producto terminado.</x:v>
      </x:c>
    </x:row>
    <x:row r="28">
      <x:c r="A28" s="302" t="str">
        <x:v>Lanzamiento y branding inicial</x:v>
      </x:c>
      <x:c r="B28" s="342" t="n">
        <x:v>4500</x:v>
      </x:c>
      <x:c r="C28" s="342" t="n">
        <x:v>4500</x:v>
      </x:c>
      <x:c r="D28" s="287" t="n">
        <x:f>IFERROR(C28/B28-1,0)</x:f>
        <x:v>0</x:v>
      </x:c>
      <x:c r="E28" s="36" t="str">
        <x:v>El sistema visual ya estaba creado.</x:v>
      </x:c>
    </x:row>
    <x:row r="30" ht="22" customHeight="1">
      <x:c r="A30" s="300" t="str">
        <x:v>Conclusión de la actualización</x:v>
      </x:c>
      <x:c r="B30" s="300"/>
      <x:c r="C30" s="300"/>
      <x:c r="D30" s="300"/>
      <x:c r="E30" s="300"/>
      <x:c r="F30" s="300"/>
      <x:c r="G30" s="300"/>
      <x:c r="H30" s="300"/>
    </x:row>
    <x:row r="31">
      <x:c r="A31" s="305" t="str">
        <x:v>La versión V5 no exige cambiar la tesis de negocio: Lootra continúa siendo una demo que debería generar ingresos reales mediante premium, publicidad, patrocinios, afiliación, cosméticos y servicios B2B. Las nuevas funciones económicas no son ingresos reales; aumentan el valor técnico y educativo del producto. El impacto financiero principal es una inversión inicial y un mantenimiento algo mayores, compensados por un proyecto mucho más completo, demostrable y defendible.</x:v>
      </x:c>
      <x:c r="B31" s="305"/>
      <x:c r="C31" s="305"/>
      <x:c r="D31" s="305"/>
      <x:c r="E31" s="305"/>
      <x:c r="F31" s="305"/>
      <x:c r="G31" s="305"/>
      <x:c r="H31" s="305"/>
    </x:row>
    <x:row r="32">
      <x:c r="A32" s="305"/>
      <x:c r="B32" s="305"/>
      <x:c r="C32" s="305"/>
      <x:c r="D32" s="305"/>
      <x:c r="E32" s="305"/>
      <x:c r="F32" s="305"/>
      <x:c r="G32" s="305"/>
      <x:c r="H32" s="305"/>
    </x:row>
    <x:row r="33">
      <x:c r="A33" s="305"/>
      <x:c r="B33" s="305"/>
      <x:c r="C33" s="305"/>
      <x:c r="D33" s="305"/>
      <x:c r="E33" s="305"/>
      <x:c r="F33" s="305"/>
      <x:c r="G33" s="305"/>
      <x:c r="H33" s="305"/>
    </x:row>
    <x:row r="34">
      <x:c r="A34" s="305"/>
      <x:c r="B34" s="305"/>
      <x:c r="C34" s="305"/>
      <x:c r="D34" s="305"/>
      <x:c r="E34" s="305"/>
      <x:c r="F34" s="305"/>
      <x:c r="G34" s="305"/>
      <x:c r="H34" s="305"/>
    </x:row>
  </x:sheetData>
  <x:mergeCells>
    <x:mergeCell ref="A1:H1"/>
    <x:mergeCell ref="A2:H2"/>
    <x:mergeCell ref="A4:H4"/>
    <x:mergeCell ref="A17:H17"/>
    <x:mergeCell ref="A30:H30"/>
    <x:mergeCell ref="A31:H3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18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5" hidden="0" customWidth="1"/>
  </x:cols>
  <x:sheetData>
    <x:row r="1" ht="32" customHeight="1">
      <x:c r="A1" s="321" t="str">
        <x:v>Simulación económica de EUR Demo</x:v>
      </x:c>
      <x:c r="B1" s="321"/>
      <x:c r="C1" s="321"/>
      <x:c r="D1" s="321"/>
      <x:c r="E1" s="321"/>
      <x:c r="F1" s="321"/>
      <x:c r="G1" s="321"/>
      <x:c r="H1" s="321"/>
      <x:c r="I1" s="321"/>
      <x:c r="J1" s="321"/>
      <x:c r="K1" s="321"/>
    </x:row>
    <x:row r="2" ht="34" customHeight="1">
      <x:c r="A2" s="325" t="str">
        <x:v>Modelo independiente del plan real. Permite estudiar RTP, GGR ficticio, tesorería y usuarios ganadores sin usar dinero real.</x:v>
      </x:c>
      <x:c r="B2" s="325"/>
      <x:c r="C2" s="325"/>
      <x:c r="D2" s="325"/>
      <x:c r="E2" s="325"/>
      <x:c r="F2" s="325"/>
      <x:c r="G2" s="325"/>
      <x:c r="H2" s="325"/>
      <x:c r="I2" s="325"/>
      <x:c r="J2" s="325"/>
      <x:c r="K2" s="325"/>
    </x:row>
    <x:row r="4" ht="22" customHeight="1">
      <x:c r="A4" s="300" t="str">
        <x:v>Supuestos editables de la simulación</x:v>
      </x:c>
      <x:c r="B4" s="300"/>
      <x:c r="C4" s="300"/>
      <x:c r="D4" s="300"/>
      <x:c r="E4" s="300"/>
      <x:c r="F4" s="300"/>
      <x:c r="G4" s="300"/>
      <x:c r="H4" s="300"/>
      <x:c r="I4" s="300"/>
      <x:c r="J4" s="300"/>
      <x:c r="K4" s="300"/>
    </x:row>
    <x:row r="5">
      <x:c r="A5" s="301" t="str">
        <x:v>Variable</x:v>
      </x:c>
      <x:c r="B5" s="301" t="str">
        <x:v>Valor</x:v>
      </x:c>
      <x:c r="C5" s="301" t="str">
        <x:v>Unidad</x:v>
      </x:c>
      <x:c r="D5" s="301" t="str">
        <x:v>Fuente / explicación</x:v>
      </x:c>
    </x:row>
    <x:row r="6">
      <x:c r="A6" s="302" t="str">
        <x:v>Usuarios simulados</x:v>
      </x:c>
      <x:c r="B6" s="346" t="n">
        <x:v>1000</x:v>
      </x:c>
      <x:c r="C6" t="str">
        <x:v>usuarios</x:v>
      </x:c>
      <x:c r="D6" s="36" t="str">
        <x:v>Hipótesis editable</x:v>
      </x:c>
    </x:row>
    <x:row r="7">
      <x:c r="A7" s="302" t="str">
        <x:v>Partidas por usuario</x:v>
      </x:c>
      <x:c r="B7" s="346" t="n">
        <x:v>100</x:v>
      </x:c>
      <x:c r="C7" t="str">
        <x:v>partidas</x:v>
      </x:c>
      <x:c r="D7" s="36" t="str">
        <x:v>Hipótesis editable</x:v>
      </x:c>
    </x:row>
    <x:row r="8">
      <x:c r="A8" s="302" t="str">
        <x:v>Saldo inicial</x:v>
      </x:c>
      <x:c r="B8" s="342" t="n">
        <x:v>100</x:v>
      </x:c>
      <x:c r="C8" t="str">
        <x:v>EUR Demo</x:v>
      </x:c>
      <x:c r="D8" s="36" t="str">
        <x:v>EconomicSimulationService</x:v>
      </x:c>
    </x:row>
    <x:row r="9">
      <x:c r="A9" s="302" t="str">
        <x:v>Apuesta por partida</x:v>
      </x:c>
      <x:c r="B9" s="342" t="n">
        <x:v>1</x:v>
      </x:c>
      <x:c r="C9" t="str">
        <x:v>EUR Demo</x:v>
      </x:c>
      <x:c r="D9" s="36" t="str">
        <x:v>EconomicSimulationService</x:v>
      </x:c>
    </x:row>
    <x:row r="10">
      <x:c r="A10" s="302" t="str">
        <x:v>RTP teórico</x:v>
      </x:c>
      <x:c r="B10" s="341" t="n">
        <x:v>0.96</x:v>
      </x:c>
      <x:c r="C10" t="str">
        <x:v>%</x:v>
      </x:c>
      <x:c r="D10" s="36" t="str">
        <x:v>EconomicSimulationService</x:v>
      </x:c>
    </x:row>
    <x:row r="11">
      <x:c r="A11" s="302" t="str">
        <x:v>Multiplicador de premio</x:v>
      </x:c>
      <x:c r="B11" s="347" t="n">
        <x:v>2</x:v>
      </x:c>
      <x:c r="C11" t="str">
        <x:v>x</x:v>
      </x:c>
      <x:c r="D11" s="36" t="str">
        <x:v>EconomicSimulationService</x:v>
      </x:c>
    </x:row>
    <x:row r="12">
      <x:c r="A12" s="302" t="str">
        <x:v>Ingresos complementarios demo</x:v>
      </x:c>
      <x:c r="B12" s="342" t="n">
        <x:v>0</x:v>
      </x:c>
      <x:c r="C12" t="str">
        <x:v>EUR Demo</x:v>
      </x:c>
      <x:c r="D12" s="36" t="str">
        <x:v>Premium/publicidad ficticios</x:v>
      </x:c>
    </x:row>
    <x:row r="13">
      <x:c r="A13" s="302" t="str">
        <x:v>Costes variables demo</x:v>
      </x:c>
      <x:c r="B13" s="342" t="n">
        <x:v>0</x:v>
      </x:c>
      <x:c r="C13" t="str">
        <x:v>EUR Demo</x:v>
      </x:c>
      <x:c r="D13" s="36" t="str">
        <x:v>Hipótesis editable</x:v>
      </x:c>
    </x:row>
    <x:row r="14">
      <x:c r="A14" s="302" t="str">
        <x:v>Costes fijos demo</x:v>
      </x:c>
      <x:c r="B14" s="342" t="n">
        <x:v>0</x:v>
      </x:c>
      <x:c r="C14" t="str">
        <x:v>EUR Demo</x:v>
      </x:c>
      <x:c r="D14" s="36" t="str">
        <x:v>Hipótesis editable</x:v>
      </x:c>
    </x:row>
    <x:row r="15">
      <x:c r="A15" s="302" t="str">
        <x:v>Tesorería inicial</x:v>
      </x:c>
      <x:c r="B15" s="342" t="n">
        <x:v>100000</x:v>
      </x:c>
      <x:c r="C15" t="str">
        <x:v>EUR Demo</x:v>
      </x:c>
      <x:c r="D15" s="36" t="str">
        <x:v>config/features.php</x:v>
      </x:c>
    </x:row>
    <x:row r="16">
      <x:c r="A16" s="302" t="str">
        <x:v>Retirada mínima</x:v>
      </x:c>
      <x:c r="B16" s="342" t="n">
        <x:v>1</x:v>
      </x:c>
      <x:c r="C16" t="str">
        <x:v>EUR Demo</x:v>
      </x:c>
      <x:c r="D16" s="36" t="str">
        <x:v>config/features.php</x:v>
      </x:c>
    </x:row>
    <x:row r="17">
      <x:c r="A17" s="302" t="str">
        <x:v>Retirada máxima</x:v>
      </x:c>
      <x:c r="B17" s="342" t="n">
        <x:v>5000</x:v>
      </x:c>
      <x:c r="C17" t="str">
        <x:v>EUR Demo</x:v>
      </x:c>
      <x:c r="D17" s="36" t="str">
        <x:v>config/features.php</x:v>
      </x:c>
    </x:row>
    <x:row r="19" ht="22" customHeight="1">
      <x:c r="A19" s="300" t="str">
        <x:v>Resultados teóricos esperados</x:v>
      </x:c>
      <x:c r="B19" s="300"/>
      <x:c r="C19" s="300"/>
      <x:c r="D19" s="300"/>
      <x:c r="E19" s="300"/>
      <x:c r="F19" s="300"/>
      <x:c r="G19" s="300"/>
      <x:c r="H19" s="300"/>
      <x:c r="I19" s="300"/>
      <x:c r="J19" s="300"/>
      <x:c r="K19" s="300"/>
    </x:row>
    <x:row r="20">
      <x:c r="A20" s="301" t="str">
        <x:v>Indicador</x:v>
      </x:c>
      <x:c r="B20" s="301" t="str">
        <x:v>Resultado</x:v>
      </x:c>
      <x:c r="C20" s="301" t="str">
        <x:v>Unidad</x:v>
      </x:c>
      <x:c r="D20" s="301" t="str">
        <x:v>Interpretación</x:v>
      </x:c>
    </x:row>
    <x:row r="21">
      <x:c r="A21" s="302" t="str">
        <x:v>Partidas totales</x:v>
      </x:c>
      <x:c r="B21" s="348" t="n">
        <x:f>B6*B7</x:f>
        <x:v>100000</x:v>
      </x:c>
      <x:c r="C21" t="str">
        <x:v>partidas</x:v>
      </x:c>
      <x:c r="D21" s="36" t="str">
        <x:v>Usuarios por partidas por usuario.</x:v>
      </x:c>
    </x:row>
    <x:row r="22">
      <x:c r="A22" s="302" t="str">
        <x:v>Volumen apostado</x:v>
      </x:c>
      <x:c r="B22" s="103" t="n">
        <x:f>B21*B9</x:f>
        <x:v>100000</x:v>
      </x:c>
      <x:c r="C22" t="str">
        <x:v>EUR Demo</x:v>
      </x:c>
      <x:c r="D22" s="36" t="str">
        <x:v>No es ingreso real.</x:v>
      </x:c>
    </x:row>
    <x:row r="23">
      <x:c r="A23" s="302" t="str">
        <x:v>Premios esperados</x:v>
      </x:c>
      <x:c r="B23" s="103" t="n">
        <x:f>B22*B10</x:f>
        <x:v>96000</x:v>
      </x:c>
      <x:c r="C23" t="str">
        <x:v>EUR Demo</x:v>
      </x:c>
      <x:c r="D23" s="36" t="str">
        <x:v>Volumen por RTP.</x:v>
      </x:c>
    </x:row>
    <x:row r="24">
      <x:c r="A24" s="302" t="str">
        <x:v>GGR demo esperado</x:v>
      </x:c>
      <x:c r="B24" s="103" t="n">
        <x:f>B22-B23</x:f>
        <x:v>4000</x:v>
      </x:c>
      <x:c r="C24" t="str">
        <x:v>EUR Demo</x:v>
      </x:c>
      <x:c r="D24" s="36" t="str">
        <x:v>Apuestas menos premios.</x:v>
      </x:c>
    </x:row>
    <x:row r="25">
      <x:c r="A25" s="302" t="str">
        <x:v>Margen esperado</x:v>
      </x:c>
      <x:c r="B25" s="287" t="n">
        <x:f>1-B10</x:f>
        <x:v>0.040000000000000036</x:v>
      </x:c>
      <x:c r="C25" t="str">
        <x:v>%</x:v>
      </x:c>
      <x:c r="D25" s="36" t="str">
        <x:v>Uno menos RTP.</x:v>
      </x:c>
    </x:row>
    <x:row r="26">
      <x:c r="A26" s="302" t="str">
        <x:v>Resultado demo neto</x:v>
      </x:c>
      <x:c r="B26" s="103" t="n">
        <x:f>B24+B12-B13-B14</x:f>
        <x:v>4000</x:v>
      </x:c>
      <x:c r="C26" t="str">
        <x:v>EUR Demo</x:v>
      </x:c>
      <x:c r="D26" s="36" t="str">
        <x:v>GGR + complementarios - costes.</x:v>
      </x:c>
    </x:row>
    <x:row r="27">
      <x:c r="A27" s="302" t="str">
        <x:v>GGR medio por usuario</x:v>
      </x:c>
      <x:c r="B27" s="103" t="n">
        <x:f>IFERROR(B24/B6,0)</x:f>
        <x:v>4</x:v>
      </x:c>
      <x:c r="C27" t="str">
        <x:v>EUR Demo</x:v>
      </x:c>
      <x:c r="D27" s="36" t="str">
        <x:v>Pérdida esperada media del jugador.</x:v>
      </x:c>
    </x:row>
    <x:row r="28">
      <x:c r="A28" s="302" t="str">
        <x:v>Saldo total inicial de jugadores</x:v>
      </x:c>
      <x:c r="B28" s="103" t="n">
        <x:f>B6*B8</x:f>
        <x:v>100000</x:v>
      </x:c>
      <x:c r="C28" t="str">
        <x:v>EUR Demo</x:v>
      </x:c>
      <x:c r="D28" s="36" t="str">
        <x:v>Pasivo virtual inicial.</x:v>
      </x:c>
    </x:row>
    <x:row r="29">
      <x:c r="A29" s="302" t="str">
        <x:v>Cobertura inicial de tesorería</x:v>
      </x:c>
      <x:c r="B29" s="287" t="n">
        <x:f>IFERROR(B15/B28,0)</x:f>
        <x:v>1</x:v>
      </x:c>
      <x:c r="C29" t="str">
        <x:v>%</x:v>
      </x:c>
      <x:c r="D29" s="36" t="str">
        <x:v>Tesorería dividida por saldo de usuarios.</x:v>
      </x:c>
    </x:row>
    <x:row r="30">
      <x:c r="A30" s="302" t="str">
        <x:v>Usuarios necesarios para cubrir costes</x:v>
      </x:c>
      <x:c r="B30" s="348" t="n">
        <x:f>IFERROR(MAX(0,(B13+B14-B12)/(B7*B9*(1-B10))),0)</x:f>
        <x:v>0</x:v>
      </x:c>
      <x:c r="C30" t="str">
        <x:v>usuarios</x:v>
      </x:c>
      <x:c r="D30" s="36" t="str">
        <x:v>Según contribución esperada por usuario.</x:v>
      </x:c>
    </x:row>
    <x:row r="32" ht="22" customHeight="1">
      <x:c r="A32" s="300" t="str">
        <x:v>Escenarios teóricos de volumen</x:v>
      </x:c>
      <x:c r="B32" s="300"/>
      <x:c r="C32" s="300"/>
      <x:c r="D32" s="300"/>
      <x:c r="E32" s="300"/>
      <x:c r="F32" s="300"/>
      <x:c r="G32" s="300"/>
      <x:c r="H32" s="300"/>
      <x:c r="I32" s="300"/>
      <x:c r="J32" s="300"/>
      <x:c r="K32" s="300"/>
    </x:row>
    <x:row r="33">
      <x:c r="A33" s="301" t="str">
        <x:v>Escenario</x:v>
      </x:c>
      <x:c r="B33" s="301" t="str">
        <x:v>Usuarios</x:v>
      </x:c>
      <x:c r="C33" s="301" t="str">
        <x:v>Partidas/usuario</x:v>
      </x:c>
      <x:c r="D33" s="301" t="str">
        <x:v>RTP</x:v>
      </x:c>
      <x:c r="E33" s="301" t="str">
        <x:v>Apuesta</x:v>
      </x:c>
      <x:c r="F33" s="301" t="str">
        <x:v>Volumen</x:v>
      </x:c>
      <x:c r="G33" s="301" t="str">
        <x:v>Premios esperados</x:v>
      </x:c>
      <x:c r="H33" s="301" t="str">
        <x:v>GGR demo</x:v>
      </x:c>
      <x:c r="I33" s="301" t="str">
        <x:v>Margen</x:v>
      </x:c>
      <x:c r="J33" s="301" t="str">
        <x:v>Fuente</x:v>
      </x:c>
    </x:row>
    <x:row r="34">
      <x:c r="A34" t="str">
        <x:v>Bajo volumen</x:v>
      </x:c>
      <x:c r="B34" s="345" t="n">
        <x:v>100</x:v>
      </x:c>
      <x:c r="C34" s="346" t="n">
        <x:v>100</x:v>
      </x:c>
      <x:c r="D34" s="341" t="n">
        <x:v>0.96</x:v>
      </x:c>
      <x:c r="E34" s="342" t="n">
        <x:v>1</x:v>
      </x:c>
      <x:c r="F34" s="101" t="n">
        <x:f>B34*C34*E34</x:f>
        <x:v>10000</x:v>
      </x:c>
      <x:c r="G34" s="101" t="n">
        <x:f>F34*D34</x:f>
        <x:v>9600</x:v>
      </x:c>
      <x:c r="H34" s="101" t="n">
        <x:f>F34-G34</x:f>
        <x:v>400</x:v>
      </x:c>
      <x:c r="I34" s="107" t="n">
        <x:f>1-D34</x:f>
        <x:v>0.040000000000000036</x:v>
      </x:c>
      <x:c r="J34" t="str">
        <x:v>Fórmula teórica</x:v>
      </x:c>
    </x:row>
    <x:row r="35">
      <x:c r="A35" t="str">
        <x:v>Base</x:v>
      </x:c>
      <x:c r="B35" s="345" t="n">
        <x:v>1000</x:v>
      </x:c>
      <x:c r="C35" s="346" t="n">
        <x:v>100</x:v>
      </x:c>
      <x:c r="D35" s="341" t="n">
        <x:v>0.96</x:v>
      </x:c>
      <x:c r="E35" s="342" t="n">
        <x:v>1</x:v>
      </x:c>
      <x:c r="F35" s="101" t="n">
        <x:f>B35*C35*E35</x:f>
        <x:v>100000</x:v>
      </x:c>
      <x:c r="G35" s="101" t="n">
        <x:f>F35*D35</x:f>
        <x:v>96000</x:v>
      </x:c>
      <x:c r="H35" s="101" t="n">
        <x:f>F35-G35</x:f>
        <x:v>4000</x:v>
      </x:c>
      <x:c r="I35" s="107" t="n">
        <x:f>1-D35</x:f>
        <x:v>0.040000000000000036</x:v>
      </x:c>
      <x:c r="J35" t="str">
        <x:v>Fórmula teórica</x:v>
      </x:c>
    </x:row>
    <x:row r="36">
      <x:c r="A36" t="str">
        <x:v>Alto volumen</x:v>
      </x:c>
      <x:c r="B36" s="345" t="n">
        <x:v>10000</x:v>
      </x:c>
      <x:c r="C36" s="346" t="n">
        <x:v>100</x:v>
      </x:c>
      <x:c r="D36" s="341" t="n">
        <x:v>0.96</x:v>
      </x:c>
      <x:c r="E36" s="342" t="n">
        <x:v>1</x:v>
      </x:c>
      <x:c r="F36" s="101" t="n">
        <x:f>B36*C36*E36</x:f>
        <x:v>1000000</x:v>
      </x:c>
      <x:c r="G36" s="101" t="n">
        <x:f>F36*D36</x:f>
        <x:v>960000</x:v>
      </x:c>
      <x:c r="H36" s="101" t="n">
        <x:f>F36-G36</x:f>
        <x:v>40000</x:v>
      </x:c>
      <x:c r="I36" s="107" t="n">
        <x:f>1-D36</x:f>
        <x:v>0.040000000000000036</x:v>
      </x:c>
      <x:c r="J36" t="str">
        <x:v>Fórmula teórica</x:v>
      </x:c>
    </x:row>
    <x:row r="37">
      <x:c r="A37" t="str">
        <x:v>Estrés RTP alto</x:v>
      </x:c>
      <x:c r="B37" s="345" t="n">
        <x:v>1000</x:v>
      </x:c>
      <x:c r="C37" s="346" t="n">
        <x:v>100</x:v>
      </x:c>
      <x:c r="D37" s="341" t="n">
        <x:v>0.98</x:v>
      </x:c>
      <x:c r="E37" s="342" t="n">
        <x:v>1</x:v>
      </x:c>
      <x:c r="F37" s="101" t="n">
        <x:f>B37*C37*E37</x:f>
        <x:v>100000</x:v>
      </x:c>
      <x:c r="G37" s="101" t="n">
        <x:f>F37*D37</x:f>
        <x:v>98000</x:v>
      </x:c>
      <x:c r="H37" s="101" t="n">
        <x:f>F37-G37</x:f>
        <x:v>2000</x:v>
      </x:c>
      <x:c r="I37" s="107" t="n">
        <x:f>1-D37</x:f>
        <x:v>0.020000000000000018</x:v>
      </x:c>
      <x:c r="J37" t="str">
        <x:v>Fórmula teórica</x:v>
      </x:c>
    </x:row>
    <x:row r="38">
      <x:c r="A38" t="str">
        <x:v>Estrés menor actividad</x:v>
      </x:c>
      <x:c r="B38" s="345" t="n">
        <x:v>1000</x:v>
      </x:c>
      <x:c r="C38" s="346" t="n">
        <x:v>30</x:v>
      </x:c>
      <x:c r="D38" s="341" t="n">
        <x:v>0.96</x:v>
      </x:c>
      <x:c r="E38" s="342" t="n">
        <x:v>1</x:v>
      </x:c>
      <x:c r="F38" s="101" t="n">
        <x:f>B38*C38*E38</x:f>
        <x:v>30000</x:v>
      </x:c>
      <x:c r="G38" s="101" t="n">
        <x:f>F38*D38</x:f>
        <x:v>28800</x:v>
      </x:c>
      <x:c r="H38" s="101" t="n">
        <x:f>F38-G38</x:f>
        <x:v>1200</x:v>
      </x:c>
      <x:c r="I38" s="107" t="n">
        <x:f>1-D38</x:f>
        <x:v>0.040000000000000036</x:v>
      </x:c>
      <x:c r="J38" t="str">
        <x:v>Fórmula teórica</x:v>
      </x:c>
    </x:row>
    <x:row r="40" ht="22" customHeight="1">
      <x:c r="A40" s="300" t="str">
        <x:v>Muestras deterministas del simulador incluido en el código</x:v>
      </x:c>
      <x:c r="B40" s="300"/>
      <x:c r="C40" s="300"/>
      <x:c r="D40" s="300"/>
      <x:c r="E40" s="300"/>
      <x:c r="F40" s="300"/>
      <x:c r="G40" s="300"/>
      <x:c r="H40" s="300"/>
      <x:c r="I40" s="300"/>
      <x:c r="J40" s="300"/>
      <x:c r="K40" s="300"/>
    </x:row>
    <x:row r="41">
      <x:c r="A41" s="301" t="str">
        <x:v>Usuarios</x:v>
      </x:c>
      <x:c r="B41" s="301" t="str">
        <x:v>Partidas/usuario</x:v>
      </x:c>
      <x:c r="C41" s="301" t="str">
        <x:v>Semilla</x:v>
      </x:c>
      <x:c r="D41" s="301" t="str">
        <x:v>Partidas jugadas</x:v>
      </x:c>
      <x:c r="E41" s="301" t="str">
        <x:v>Apostado</x:v>
      </x:c>
      <x:c r="F41" s="301" t="str">
        <x:v>Premios</x:v>
      </x:c>
      <x:c r="G41" s="301" t="str">
        <x:v>RTP observado</x:v>
      </x:c>
      <x:c r="H41" s="301" t="str">
        <x:v>GGR</x:v>
      </x:c>
      <x:c r="I41" s="301" t="str">
        <x:v>Ganadores</x:v>
      </x:c>
      <x:c r="J41" s="301" t="str">
        <x:v>Perdedores</x:v>
      </x:c>
      <x:c r="K41" s="301" t="str">
        <x:v>Fuente</x:v>
      </x:c>
    </x:row>
    <x:row r="42">
      <x:c r="A42" s="349" t="n">
        <x:v>100</x:v>
      </x:c>
      <x:c r="B42" s="349" t="n">
        <x:v>100</x:v>
      </x:c>
      <x:c r="C42" s="349" t="n">
        <x:v>20260724</x:v>
      </x:c>
      <x:c r="D42" s="349" t="n">
        <x:v>10000</x:v>
      </x:c>
      <x:c r="E42" s="147" t="n">
        <x:v>10000</x:v>
      </x:c>
      <x:c r="F42" s="147" t="n">
        <x:v>9526</x:v>
      </x:c>
      <x:c r="G42" s="148" t="n">
        <x:v>0.9526</x:v>
      </x:c>
      <x:c r="H42" s="147" t="n">
        <x:v>474</x:v>
      </x:c>
      <x:c r="I42" s="349" t="n">
        <x:v>24</x:v>
      </x:c>
      <x:c r="J42" s="349" t="n">
        <x:v>74</x:v>
      </x:c>
      <x:c r="K42" s="36" t="str">
        <x:v>EconomicSimulationService</x:v>
      </x:c>
    </x:row>
    <x:row r="43">
      <x:c r="A43" s="349" t="n">
        <x:v>1000</x:v>
      </x:c>
      <x:c r="B43" s="349" t="n">
        <x:v>100</x:v>
      </x:c>
      <x:c r="C43" s="349" t="n">
        <x:v>20260724</x:v>
      </x:c>
      <x:c r="D43" s="349" t="n">
        <x:v>100000</x:v>
      </x:c>
      <x:c r="E43" s="147" t="n">
        <x:v>100000</x:v>
      </x:c>
      <x:c r="F43" s="147" t="n">
        <x:v>95666</x:v>
      </x:c>
      <x:c r="G43" s="148" t="n">
        <x:v>0.95666</x:v>
      </x:c>
      <x:c r="H43" s="147" t="n">
        <x:v>4334</x:v>
      </x:c>
      <x:c r="I43" s="349" t="n">
        <x:v>279</x:v>
      </x:c>
      <x:c r="J43" s="349" t="n">
        <x:v>648</x:v>
      </x:c>
      <x:c r="K43" s="36" t="str">
        <x:v>EconomicSimulationService</x:v>
      </x:c>
    </x:row>
    <x:row r="44">
      <x:c r="A44" s="349" t="n">
        <x:v>10000</x:v>
      </x:c>
      <x:c r="B44" s="349" t="n">
        <x:v>100</x:v>
      </x:c>
      <x:c r="C44" s="349" t="n">
        <x:v>20260724</x:v>
      </x:c>
      <x:c r="D44" s="349" t="n">
        <x:v>1000000</x:v>
      </x:c>
      <x:c r="E44" s="147" t="n">
        <x:v>1000000</x:v>
      </x:c>
      <x:c r="F44" s="147" t="n">
        <x:v>958922</x:v>
      </x:c>
      <x:c r="G44" s="148" t="n">
        <x:v>0.958922</x:v>
      </x:c>
      <x:c r="H44" s="147" t="n">
        <x:v>41078</x:v>
      </x:c>
      <x:c r="I44" s="349" t="n">
        <x:v>3057</x:v>
      </x:c>
      <x:c r="J44" s="349" t="n">
        <x:v>6235</x:v>
      </x:c>
      <x:c r="K44" s="36" t="str">
        <x:v>EconomicSimulationService</x:v>
      </x:c>
    </x:row>
    <x:row r="45">
      <x:c r="A45" s="349" t="n">
        <x:v>1000</x:v>
      </x:c>
      <x:c r="B45" s="349" t="n">
        <x:v>1000</x:v>
      </x:c>
      <x:c r="C45" s="349" t="n">
        <x:v>20260724</x:v>
      </x:c>
      <x:c r="D45" s="349" t="n">
        <x:v>991414</x:v>
      </x:c>
      <x:c r="E45" s="147" t="n">
        <x:v>991414</x:v>
      </x:c>
      <x:c r="F45" s="147" t="n">
        <x:v>950800</x:v>
      </x:c>
      <x:c r="G45" s="148" t="n">
        <x:v>0.959034</x:v>
      </x:c>
      <x:c r="H45" s="147" t="n">
        <x:v>40614</x:v>
      </x:c>
      <x:c r="I45" s="349" t="n">
        <x:v>88</x:v>
      </x:c>
      <x:c r="J45" s="349" t="n">
        <x:v>901</x:v>
      </x:c>
      <x:c r="K45" s="36" t="str">
        <x:v>EconomicSimulationService</x:v>
      </x:c>
    </x:row>
    <x:row r="46">
      <x:c r="A46" s="349" t="n">
        <x:v>1000</x:v>
      </x:c>
      <x:c r="B46" s="349" t="n">
        <x:v>100</x:v>
      </x:c>
      <x:c r="C46" s="349" t="n">
        <x:v>123</x:v>
      </x:c>
      <x:c r="D46" s="349" t="n">
        <x:v>100000</x:v>
      </x:c>
      <x:c r="E46" s="147" t="n">
        <x:v>100000</x:v>
      </x:c>
      <x:c r="F46" s="147" t="n">
        <x:v>96020</x:v>
      </x:c>
      <x:c r="G46" s="148" t="n">
        <x:v>0.9602</x:v>
      </x:c>
      <x:c r="H46" s="147" t="n">
        <x:v>3980</x:v>
      </x:c>
      <x:c r="I46" s="349" t="n">
        <x:v>330</x:v>
      </x:c>
      <x:c r="J46" s="349" t="n">
        <x:v>610</x:v>
      </x:c>
      <x:c r="K46" s="36" t="str">
        <x:v>EconomicSimulationService</x:v>
      </x:c>
    </x:row>
    <x:row r="47">
      <x:c r="A47" s="349" t="n">
        <x:v>1000</x:v>
      </x:c>
      <x:c r="B47" s="349" t="n">
        <x:v>100</x:v>
      </x:c>
      <x:c r="C47" s="349" t="n">
        <x:v>987654</x:v>
      </x:c>
      <x:c r="D47" s="349" t="n">
        <x:v>100000</x:v>
      </x:c>
      <x:c r="E47" s="147" t="n">
        <x:v>100000</x:v>
      </x:c>
      <x:c r="F47" s="147" t="n">
        <x:v>95812</x:v>
      </x:c>
      <x:c r="G47" s="148" t="n">
        <x:v>0.95812</x:v>
      </x:c>
      <x:c r="H47" s="147" t="n">
        <x:v>4188</x:v>
      </x:c>
      <x:c r="I47" s="349" t="n">
        <x:v>301</x:v>
      </x:c>
      <x:c r="J47" s="349" t="n">
        <x:v>618</x:v>
      </x:c>
      <x:c r="K47" s="36" t="str">
        <x:v>EconomicSimulationService</x:v>
      </x:c>
    </x:row>
    <x:row r="49" ht="22" customHeight="1">
      <x:c r="A49" s="300" t="str">
        <x:v>Lectura correcta de la simulación</x:v>
      </x:c>
      <x:c r="B49" s="300"/>
      <x:c r="C49" s="300"/>
      <x:c r="D49" s="300"/>
      <x:c r="E49" s="300"/>
      <x:c r="F49" s="300"/>
      <x:c r="G49" s="300"/>
      <x:c r="H49" s="300"/>
      <x:c r="I49" s="300"/>
      <x:c r="J49" s="300"/>
      <x:c r="K49" s="300"/>
    </x:row>
    <x:row r="50">
      <x:c r="A50" s="305" t="str">
        <x:v>El GGR, el RTP, los depósitos y las retiradas de esta hoja son exclusivamente EUR Demo. Las muestras demuestran que algunos usuarios terminan con ganancias y otros con pérdidas, mientras el margen observado se aproxima al teórico al aumentar el volumen. No demuestran rentabilidad comercial ni deben sumarse a los ingresos del Dashboard. La rentabilidad real se calcula en 04_Modelo_12M.</x:v>
      </x:c>
      <x:c r="B50" s="305"/>
      <x:c r="C50" s="305"/>
      <x:c r="D50" s="305"/>
      <x:c r="E50" s="305"/>
      <x:c r="F50" s="305"/>
      <x:c r="G50" s="305"/>
      <x:c r="H50" s="305"/>
      <x:c r="I50" s="305"/>
      <x:c r="J50" s="305"/>
      <x:c r="K50" s="305"/>
    </x:row>
    <x:row r="51">
      <x:c r="A51" s="305"/>
      <x:c r="B51" s="305"/>
      <x:c r="C51" s="305"/>
      <x:c r="D51" s="305"/>
      <x:c r="E51" s="305"/>
      <x:c r="F51" s="305"/>
      <x:c r="G51" s="305"/>
      <x:c r="H51" s="305"/>
      <x:c r="I51" s="305"/>
      <x:c r="J51" s="305"/>
      <x:c r="K51" s="305"/>
    </x:row>
    <x:row r="52">
      <x:c r="A52" s="305"/>
      <x:c r="B52" s="305"/>
      <x:c r="C52" s="305"/>
      <x:c r="D52" s="305"/>
      <x:c r="E52" s="305"/>
      <x:c r="F52" s="305"/>
      <x:c r="G52" s="305"/>
      <x:c r="H52" s="305"/>
      <x:c r="I52" s="305"/>
      <x:c r="J52" s="305"/>
      <x:c r="K52" s="305"/>
    </x:row>
    <x:row r="53">
      <x:c r="A53" s="305"/>
      <x:c r="B53" s="305"/>
      <x:c r="C53" s="305"/>
      <x:c r="D53" s="305"/>
      <x:c r="E53" s="305"/>
      <x:c r="F53" s="305"/>
      <x:c r="G53" s="305"/>
      <x:c r="H53" s="305"/>
      <x:c r="I53" s="305"/>
      <x:c r="J53" s="305"/>
      <x:c r="K53" s="305"/>
    </x:row>
  </x:sheetData>
  <x:mergeCells>
    <x:mergeCell ref="A1:K1"/>
    <x:mergeCell ref="A2:K2"/>
    <x:mergeCell ref="A4:K4"/>
    <x:mergeCell ref="A19:K19"/>
    <x:mergeCell ref="A32:K32"/>
    <x:mergeCell ref="A40:K40"/>
    <x:mergeCell ref="A49:K49"/>
    <x:mergeCell ref="A50:K53"/>
  </x:mergeCells>
  <x:pageMargins left="0.7" right="0.7" top="0.75" bottom="0.75" header="0.3" footer="0.3"/>
  <x:drawing xmlns:r="http://schemas.openxmlformats.org/officeDocument/2006/relationships" r:id="R8a80a875722749c6"/>
</x:worksheet>
</file>